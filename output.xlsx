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2026_2_5\系统合格性测试要求&amp;输出物\输出物模板\"/>
    </mc:Choice>
  </mc:AlternateContent>
  <xr:revisionPtr revIDLastSave="0" documentId="13_ncr:1_{02B3E998-3D10-4EB2-A6CE-89F11FDF38EC}" xr6:coauthVersionLast="36" xr6:coauthVersionMax="47" xr10:uidLastSave="{00000000-0000-0000-0000-000000000000}"/>
  <bookViews>
    <workbookView xWindow="-120" yWindow="-120" windowWidth="29040" windowHeight="15720" tabRatio="829" activeTab="7" xr2:uid="{A6BFE576-B67F-B445-9628-402E6C43C4C7}"/>
  </bookViews>
  <sheets>
    <sheet name="封面" sheetId="32" r:id="rId1"/>
    <sheet name="变更履历" sheetId="18" r:id="rId2"/>
    <sheet name="1.测试基本信息" sheetId="22" r:id="rId3"/>
    <sheet name="2.测试汇总结果" sheetId="27" r:id="rId4"/>
    <sheet name="3.测试分析报告" sheetId="24" r:id="rId5"/>
    <sheet name="附1.测试Bug清单" sheetId="25" r:id="rId6"/>
    <sheet name="附2.测试结果" sheetId="33" r:id="rId7"/>
    <sheet name="BSW测试结果" sheetId="34" r:id="rId8"/>
    <sheet name="附3.工作量统计" sheetId="30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1" localSheetId="4">#REF!</definedName>
    <definedName name="_1" localSheetId="7">#REF!</definedName>
    <definedName name="_1" localSheetId="0">#REF!</definedName>
    <definedName name="_1" localSheetId="5">#REF!</definedName>
    <definedName name="_1" localSheetId="6">#REF!</definedName>
    <definedName name="_1">#REF!</definedName>
    <definedName name="_1、除特别注明_功能测试均在室温__23±5℃_、相对空气湿度为50_±20_环境中进行__2、未注明测试次数_每项测试均须取样5组数据_取平均值__3、DUT_被测试的样件_IGN__DUT供电电源__4、测试设备__稳压电源、示波器_滑动变阻器等" localSheetId="4">#REF!</definedName>
    <definedName name="_1、除特别注明_功能测试均在室温__23±5℃_、相对空气湿度为50_±20_环境中进行__2、未注明测试次数_每项测试均须取样5组数据_取平均值__3、DUT_被测试的样件_IGN__DUT供电电源__4、测试设备__稳压电源、示波器_滑动变阻器等" localSheetId="7">#REF!</definedName>
    <definedName name="_1、除特别注明_功能测试均在室温__23±5℃_、相对空气湿度为50_±20_环境中进行__2、未注明测试次数_每项测试均须取样5组数据_取平均值__3、DUT_被测试的样件_IGN__DUT供电电源__4、测试设备__稳压电源、示波器_滑动变阻器等" localSheetId="0">#REF!</definedName>
    <definedName name="_1、除特别注明_功能测试均在室温__23±5℃_、相对空气湿度为50_±20_环境中进行__2、未注明测试次数_每项测试均须取样5组数据_取平均值__3、DUT_被测试的样件_IGN__DUT供电电源__4、测试设备__稳压电源、示波器_滑动变阻器等" localSheetId="5">#REF!</definedName>
    <definedName name="_1、除特别注明_功能测试均在室温__23±5℃_、相对空气湿度为50_±20_环境中进行__2、未注明测试次数_每项测试均须取样5组数据_取平均值__3、DUT_被测试的样件_IGN__DUT供电电源__4、测试设备__稳压电源、示波器_滑动变阻器等" localSheetId="6">#REF!</definedName>
    <definedName name="_1、除特别注明_功能测试均在室温__23±5℃_、相对空气湿度为50_±20_环境中进行__2、未注明测试次数_每项测试均须取样5组数据_取平均值__3、DUT_被测试的样件_IGN__DUT供电电源__4、测试设备__稳压电源、示波器_滑动变阻器等">#REF!</definedName>
    <definedName name="_1.0.0.130424.i.B" localSheetId="4">#REF!</definedName>
    <definedName name="_1.0.0.130424.i.B" localSheetId="7">#REF!</definedName>
    <definedName name="_1.0.0.130424.i.B" localSheetId="0">#REF!</definedName>
    <definedName name="_1.0.0.130424.i.B" localSheetId="5">#REF!</definedName>
    <definedName name="_1.0.0.130424.i.B" localSheetId="6">#REF!</definedName>
    <definedName name="_1.0.0.130424.i.B">#REF!</definedName>
    <definedName name="_1.0.0.140405" localSheetId="4">#REF!</definedName>
    <definedName name="_1.0.0.140405">#REF!</definedName>
    <definedName name="_1.测试" localSheetId="4">#REF!</definedName>
    <definedName name="_1.测试" localSheetId="5">#REF!</definedName>
    <definedName name="_1.测试">#REF!</definedName>
    <definedName name="_1.测试结果截图" localSheetId="4">#REF!</definedName>
    <definedName name="_1.测试结果截图" localSheetId="5">#REF!</definedName>
    <definedName name="_1.测试结果截图">#REF!</definedName>
    <definedName name="_1.测试截图" localSheetId="4">#REF!</definedName>
    <definedName name="_1.测试截图" localSheetId="5">#REF!</definedName>
    <definedName name="_1.测试截图">#REF!</definedName>
    <definedName name="_1.截图" localSheetId="4">#REF!</definedName>
    <definedName name="_1.截图" localSheetId="5">#REF!</definedName>
    <definedName name="_1.截图">#REF!</definedName>
    <definedName name="_10" localSheetId="4">#REF!</definedName>
    <definedName name="_10" localSheetId="5">#REF!</definedName>
    <definedName name="_10">#REF!</definedName>
    <definedName name="_10.测试结果截图" localSheetId="4">#REF!</definedName>
    <definedName name="_10.测试结果截图" localSheetId="5">#REF!</definedName>
    <definedName name="_10.测试结果截图">#REF!</definedName>
    <definedName name="_10.测试截图" localSheetId="4">#REF!</definedName>
    <definedName name="_10.测试截图" localSheetId="5">#REF!</definedName>
    <definedName name="_10.测试截图">#REF!</definedName>
    <definedName name="_10.截图" localSheetId="4">#REF!</definedName>
    <definedName name="_10.截图" localSheetId="5">#REF!</definedName>
    <definedName name="_10.截图">#REF!</definedName>
    <definedName name="_100.测试结果截图" localSheetId="4">#REF!</definedName>
    <definedName name="_100.测试结果截图" localSheetId="5">#REF!</definedName>
    <definedName name="_100.测试结果截图">#REF!</definedName>
    <definedName name="_100.截图" localSheetId="4">#REF!</definedName>
    <definedName name="_100.截图" localSheetId="5">#REF!</definedName>
    <definedName name="_100.截图">#REF!</definedName>
    <definedName name="_101.测试结果截图" localSheetId="4">#REF!</definedName>
    <definedName name="_101.测试结果截图" localSheetId="5">#REF!</definedName>
    <definedName name="_101.测试结果截图">#REF!</definedName>
    <definedName name="_101.截图" localSheetId="4">#REF!</definedName>
    <definedName name="_101.截图" localSheetId="5">#REF!</definedName>
    <definedName name="_101.截图">#REF!</definedName>
    <definedName name="_102.测试结果截图" localSheetId="4">#REF!</definedName>
    <definedName name="_102.测试结果截图" localSheetId="5">#REF!</definedName>
    <definedName name="_102.测试结果截图">#REF!</definedName>
    <definedName name="_102.截图" localSheetId="4">#REF!</definedName>
    <definedName name="_102.截图" localSheetId="5">#REF!</definedName>
    <definedName name="_102.截图">#REF!</definedName>
    <definedName name="_103.测试结果截图" localSheetId="4">#REF!</definedName>
    <definedName name="_103.测试结果截图" localSheetId="5">#REF!</definedName>
    <definedName name="_103.测试结果截图">#REF!</definedName>
    <definedName name="_103.截图" localSheetId="4">#REF!</definedName>
    <definedName name="_103.截图" localSheetId="5">#REF!</definedName>
    <definedName name="_103.截图">#REF!</definedName>
    <definedName name="_104.测试结果截图" localSheetId="4">#REF!</definedName>
    <definedName name="_104.测试结果截图" localSheetId="5">#REF!</definedName>
    <definedName name="_104.测试结果截图">#REF!</definedName>
    <definedName name="_104.截图" localSheetId="4">#REF!</definedName>
    <definedName name="_104.截图" localSheetId="5">#REF!</definedName>
    <definedName name="_104.截图">#REF!</definedName>
    <definedName name="_105.测试结果截图" localSheetId="4">#REF!</definedName>
    <definedName name="_105.测试结果截图" localSheetId="5">#REF!</definedName>
    <definedName name="_105.测试结果截图">#REF!</definedName>
    <definedName name="_105.截图" localSheetId="4">#REF!</definedName>
    <definedName name="_105.截图" localSheetId="5">#REF!</definedName>
    <definedName name="_105.截图">#REF!</definedName>
    <definedName name="_106.测试结果截图" localSheetId="4">#REF!</definedName>
    <definedName name="_106.测试结果截图" localSheetId="5">#REF!</definedName>
    <definedName name="_106.测试结果截图">#REF!</definedName>
    <definedName name="_106.截图" localSheetId="4">#REF!</definedName>
    <definedName name="_106.截图" localSheetId="5">#REF!</definedName>
    <definedName name="_106.截图">#REF!</definedName>
    <definedName name="_107.测试结果截图" localSheetId="4">#REF!</definedName>
    <definedName name="_107.测试结果截图" localSheetId="5">#REF!</definedName>
    <definedName name="_107.测试结果截图">#REF!</definedName>
    <definedName name="_107.截图" localSheetId="4">#REF!</definedName>
    <definedName name="_107.截图" localSheetId="5">#REF!</definedName>
    <definedName name="_107.截图">#REF!</definedName>
    <definedName name="_108.测试结果截图" localSheetId="4">#REF!</definedName>
    <definedName name="_108.测试结果截图" localSheetId="5">#REF!</definedName>
    <definedName name="_108.测试结果截图">#REF!</definedName>
    <definedName name="_108.截图" localSheetId="4">#REF!</definedName>
    <definedName name="_108.截图" localSheetId="5">#REF!</definedName>
    <definedName name="_108.截图">#REF!</definedName>
    <definedName name="_109.测试结果截图" localSheetId="4">#REF!</definedName>
    <definedName name="_109.测试结果截图" localSheetId="5">#REF!</definedName>
    <definedName name="_109.测试结果截图">#REF!</definedName>
    <definedName name="_109.截图" localSheetId="4">#REF!</definedName>
    <definedName name="_109.截图" localSheetId="5">#REF!</definedName>
    <definedName name="_109.截图">#REF!</definedName>
    <definedName name="_11" localSheetId="4">#REF!</definedName>
    <definedName name="_11">#REF!</definedName>
    <definedName name="_11.测试结果截图" localSheetId="4">#REF!</definedName>
    <definedName name="_11.测试结果截图" localSheetId="5">#REF!</definedName>
    <definedName name="_11.测试结果截图">#REF!</definedName>
    <definedName name="_11.测试截图" localSheetId="4">#REF!</definedName>
    <definedName name="_11.测试截图" localSheetId="5">#REF!</definedName>
    <definedName name="_11.测试截图">#REF!</definedName>
    <definedName name="_11.截图" localSheetId="4">#REF!</definedName>
    <definedName name="_11.截图" localSheetId="5">#REF!</definedName>
    <definedName name="_11.截图">#REF!</definedName>
    <definedName name="_110.测试结果截图" localSheetId="4">#REF!</definedName>
    <definedName name="_110.测试结果截图" localSheetId="5">#REF!</definedName>
    <definedName name="_110.测试结果截图">#REF!</definedName>
    <definedName name="_110.截图" localSheetId="4">#REF!</definedName>
    <definedName name="_110.截图" localSheetId="5">#REF!</definedName>
    <definedName name="_110.截图">#REF!</definedName>
    <definedName name="_111.测试结果截图" localSheetId="4">#REF!</definedName>
    <definedName name="_111.测试结果截图" localSheetId="5">#REF!</definedName>
    <definedName name="_111.测试结果截图">#REF!</definedName>
    <definedName name="_111.截图" localSheetId="4">#REF!</definedName>
    <definedName name="_111.截图" localSheetId="5">#REF!</definedName>
    <definedName name="_111.截图">#REF!</definedName>
    <definedName name="_112.测试结果截图" localSheetId="4">#REF!</definedName>
    <definedName name="_112.测试结果截图" localSheetId="5">#REF!</definedName>
    <definedName name="_112.测试结果截图">#REF!</definedName>
    <definedName name="_112.截图" localSheetId="4">#REF!</definedName>
    <definedName name="_112.截图" localSheetId="5">#REF!</definedName>
    <definedName name="_112.截图">#REF!</definedName>
    <definedName name="_113.测试结果截图" localSheetId="4">#REF!</definedName>
    <definedName name="_113.测试结果截图" localSheetId="5">#REF!</definedName>
    <definedName name="_113.测试结果截图">#REF!</definedName>
    <definedName name="_113.截图" localSheetId="4">#REF!</definedName>
    <definedName name="_113.截图" localSheetId="5">#REF!</definedName>
    <definedName name="_113.截图">#REF!</definedName>
    <definedName name="_114.测试结果截图" localSheetId="4">#REF!</definedName>
    <definedName name="_114.测试结果截图" localSheetId="5">#REF!</definedName>
    <definedName name="_114.测试结果截图">#REF!</definedName>
    <definedName name="_114.截图" localSheetId="4">#REF!</definedName>
    <definedName name="_114.截图" localSheetId="5">#REF!</definedName>
    <definedName name="_114.截图">#REF!</definedName>
    <definedName name="_115.测试结果截图" localSheetId="4">#REF!</definedName>
    <definedName name="_115.测试结果截图" localSheetId="5">#REF!</definedName>
    <definedName name="_115.测试结果截图">#REF!</definedName>
    <definedName name="_115.截图" localSheetId="4">#REF!</definedName>
    <definedName name="_115.截图" localSheetId="5">#REF!</definedName>
    <definedName name="_115.截图">#REF!</definedName>
    <definedName name="_116.测试结果截图" localSheetId="4">#REF!</definedName>
    <definedName name="_116.测试结果截图" localSheetId="5">#REF!</definedName>
    <definedName name="_116.测试结果截图">#REF!</definedName>
    <definedName name="_116.截图" localSheetId="4">#REF!</definedName>
    <definedName name="_116.截图" localSheetId="5">#REF!</definedName>
    <definedName name="_116.截图">#REF!</definedName>
    <definedName name="_117.测试结果截图" localSheetId="4">#REF!</definedName>
    <definedName name="_117.测试结果截图" localSheetId="5">#REF!</definedName>
    <definedName name="_117.测试结果截图">#REF!</definedName>
    <definedName name="_117.截图" localSheetId="4">#REF!</definedName>
    <definedName name="_117.截图" localSheetId="5">#REF!</definedName>
    <definedName name="_117.截图">#REF!</definedName>
    <definedName name="_118.测试结果截图" localSheetId="4">#REF!</definedName>
    <definedName name="_118.测试结果截图" localSheetId="5">#REF!</definedName>
    <definedName name="_118.测试结果截图">#REF!</definedName>
    <definedName name="_118.截图" localSheetId="4">#REF!</definedName>
    <definedName name="_118.截图" localSheetId="5">#REF!</definedName>
    <definedName name="_118.截图">#REF!</definedName>
    <definedName name="_119.测试结果截图" localSheetId="4">#REF!</definedName>
    <definedName name="_119.测试结果截图" localSheetId="5">#REF!</definedName>
    <definedName name="_119.测试结果截图">#REF!</definedName>
    <definedName name="_119.截图" localSheetId="4">#REF!</definedName>
    <definedName name="_119.截图" localSheetId="5">#REF!</definedName>
    <definedName name="_119.截图">#REF!</definedName>
    <definedName name="_12.测试结果截图" localSheetId="4">#REF!</definedName>
    <definedName name="_12.测试结果截图" localSheetId="5">#REF!</definedName>
    <definedName name="_12.测试结果截图">#REF!</definedName>
    <definedName name="_12.测试截图" localSheetId="4">#REF!</definedName>
    <definedName name="_12.测试截图" localSheetId="5">#REF!</definedName>
    <definedName name="_12.测试截图">#REF!</definedName>
    <definedName name="_12.截图" localSheetId="4">#REF!</definedName>
    <definedName name="_12.截图" localSheetId="5">#REF!</definedName>
    <definedName name="_12.截图">#REF!</definedName>
    <definedName name="_120.测试结果截图" localSheetId="4">#REF!</definedName>
    <definedName name="_120.测试结果截图" localSheetId="5">#REF!</definedName>
    <definedName name="_120.测试结果截图">#REF!</definedName>
    <definedName name="_120.截图" localSheetId="4">#REF!</definedName>
    <definedName name="_120.截图" localSheetId="5">#REF!</definedName>
    <definedName name="_120.截图">#REF!</definedName>
    <definedName name="_121.测试结果截图" localSheetId="4">#REF!</definedName>
    <definedName name="_121.测试结果截图" localSheetId="5">#REF!</definedName>
    <definedName name="_121.测试结果截图">#REF!</definedName>
    <definedName name="_121.截图" localSheetId="4">#REF!</definedName>
    <definedName name="_121.截图" localSheetId="5">#REF!</definedName>
    <definedName name="_121.截图">#REF!</definedName>
    <definedName name="_122.测试结果截图" localSheetId="4">#REF!</definedName>
    <definedName name="_122.测试结果截图" localSheetId="5">#REF!</definedName>
    <definedName name="_122.测试结果截图">#REF!</definedName>
    <definedName name="_122.截图" localSheetId="4">#REF!</definedName>
    <definedName name="_122.截图" localSheetId="5">#REF!</definedName>
    <definedName name="_122.截图">#REF!</definedName>
    <definedName name="_123.测试结果截图" localSheetId="4">#REF!</definedName>
    <definedName name="_123.测试结果截图" localSheetId="5">#REF!</definedName>
    <definedName name="_123.测试结果截图">#REF!</definedName>
    <definedName name="_123.截图" localSheetId="4">#REF!</definedName>
    <definedName name="_123.截图" localSheetId="5">#REF!</definedName>
    <definedName name="_123.截图">#REF!</definedName>
    <definedName name="_124.测试结果截图" localSheetId="4">#REF!</definedName>
    <definedName name="_124.测试结果截图" localSheetId="5">#REF!</definedName>
    <definedName name="_124.测试结果截图">#REF!</definedName>
    <definedName name="_124.截图" localSheetId="4">#REF!</definedName>
    <definedName name="_124.截图" localSheetId="5">#REF!</definedName>
    <definedName name="_124.截图">#REF!</definedName>
    <definedName name="_125.测试结果截图" localSheetId="4">#REF!</definedName>
    <definedName name="_125.测试结果截图" localSheetId="5">#REF!</definedName>
    <definedName name="_125.测试结果截图">#REF!</definedName>
    <definedName name="_125.截图" localSheetId="4">#REF!</definedName>
    <definedName name="_125.截图" localSheetId="5">#REF!</definedName>
    <definedName name="_125.截图">#REF!</definedName>
    <definedName name="_126.测试结果截图" localSheetId="4">#REF!</definedName>
    <definedName name="_126.测试结果截图" localSheetId="5">#REF!</definedName>
    <definedName name="_126.测试结果截图">#REF!</definedName>
    <definedName name="_126.截图" localSheetId="4">#REF!</definedName>
    <definedName name="_126.截图" localSheetId="5">#REF!</definedName>
    <definedName name="_126.截图">#REF!</definedName>
    <definedName name="_127.测试结果截图" localSheetId="4">#REF!</definedName>
    <definedName name="_127.测试结果截图" localSheetId="5">#REF!</definedName>
    <definedName name="_127.测试结果截图">#REF!</definedName>
    <definedName name="_127.截图" localSheetId="4">#REF!</definedName>
    <definedName name="_127.截图" localSheetId="5">#REF!</definedName>
    <definedName name="_127.截图">#REF!</definedName>
    <definedName name="_128.测试结果截图" localSheetId="4">#REF!</definedName>
    <definedName name="_128.测试结果截图" localSheetId="5">#REF!</definedName>
    <definedName name="_128.测试结果截图">#REF!</definedName>
    <definedName name="_128.截图" localSheetId="4">#REF!</definedName>
    <definedName name="_128.截图" localSheetId="5">#REF!</definedName>
    <definedName name="_128.截图">#REF!</definedName>
    <definedName name="_129.测试结果截图" localSheetId="4">#REF!</definedName>
    <definedName name="_129.测试结果截图" localSheetId="5">#REF!</definedName>
    <definedName name="_129.测试结果截图">#REF!</definedName>
    <definedName name="_129.截图" localSheetId="4">#REF!</definedName>
    <definedName name="_129.截图" localSheetId="5">#REF!</definedName>
    <definedName name="_129.截图">#REF!</definedName>
    <definedName name="_13.测试结果截图" localSheetId="4">#REF!</definedName>
    <definedName name="_13.测试结果截图" localSheetId="5">#REF!</definedName>
    <definedName name="_13.测试结果截图">#REF!</definedName>
    <definedName name="_13.测试截图" localSheetId="4">#REF!</definedName>
    <definedName name="_13.测试截图" localSheetId="5">#REF!</definedName>
    <definedName name="_13.测试截图">#REF!</definedName>
    <definedName name="_13.截图" localSheetId="4">#REF!</definedName>
    <definedName name="_13.截图" localSheetId="5">#REF!</definedName>
    <definedName name="_13.截图">#REF!</definedName>
    <definedName name="_130.测试结果截图" localSheetId="4">#REF!</definedName>
    <definedName name="_130.测试结果截图" localSheetId="5">#REF!</definedName>
    <definedName name="_130.测试结果截图">#REF!</definedName>
    <definedName name="_130.测试截图" localSheetId="4">#REF!</definedName>
    <definedName name="_130.测试截图" localSheetId="5">#REF!</definedName>
    <definedName name="_130.测试截图">#REF!</definedName>
    <definedName name="_131.测试结果截图" localSheetId="4">#REF!</definedName>
    <definedName name="_131.测试结果截图" localSheetId="5">#REF!</definedName>
    <definedName name="_131.测试结果截图">#REF!</definedName>
    <definedName name="_131.测试截图" localSheetId="4">#REF!</definedName>
    <definedName name="_131.测试截图" localSheetId="5">#REF!</definedName>
    <definedName name="_131.测试截图">#REF!</definedName>
    <definedName name="_132.测试结果截图" localSheetId="4">#REF!</definedName>
    <definedName name="_132.测试结果截图" localSheetId="5">#REF!</definedName>
    <definedName name="_132.测试结果截图">#REF!</definedName>
    <definedName name="_132.测试截图" localSheetId="4">#REF!</definedName>
    <definedName name="_132.测试截图" localSheetId="5">#REF!</definedName>
    <definedName name="_132.测试截图">#REF!</definedName>
    <definedName name="_133.测试" localSheetId="4">#REF!</definedName>
    <definedName name="_133.测试" localSheetId="5">#REF!</definedName>
    <definedName name="_133.测试">#REF!</definedName>
    <definedName name="_133.测试结果截图" localSheetId="4">#REF!</definedName>
    <definedName name="_133.测试结果截图" localSheetId="5">#REF!</definedName>
    <definedName name="_133.测试结果截图">#REF!</definedName>
    <definedName name="_133.测试截图" localSheetId="4">#REF!</definedName>
    <definedName name="_133.测试截图" localSheetId="5">#REF!</definedName>
    <definedName name="_133.测试截图">#REF!</definedName>
    <definedName name="_134.测试" localSheetId="4">#REF!</definedName>
    <definedName name="_134.测试" localSheetId="5">#REF!</definedName>
    <definedName name="_134.测试">#REF!</definedName>
    <definedName name="_134.测试结果截图" localSheetId="4">#REF!</definedName>
    <definedName name="_134.测试结果截图" localSheetId="5">#REF!</definedName>
    <definedName name="_134.测试结果截图">#REF!</definedName>
    <definedName name="_134.测试截图" localSheetId="4">#REF!</definedName>
    <definedName name="_134.测试截图" localSheetId="5">#REF!</definedName>
    <definedName name="_134.测试截图">#REF!</definedName>
    <definedName name="_135.测试" localSheetId="4">#REF!</definedName>
    <definedName name="_135.测试" localSheetId="5">#REF!</definedName>
    <definedName name="_135.测试">#REF!</definedName>
    <definedName name="_135.测试结果截图" localSheetId="4">#REF!</definedName>
    <definedName name="_135.测试结果截图" localSheetId="5">#REF!</definedName>
    <definedName name="_135.测试结果截图">#REF!</definedName>
    <definedName name="_135.测试截图" localSheetId="4">#REF!</definedName>
    <definedName name="_135.测试截图" localSheetId="5">#REF!</definedName>
    <definedName name="_135.测试截图">#REF!</definedName>
    <definedName name="_136.测试" localSheetId="4">#REF!</definedName>
    <definedName name="_136.测试" localSheetId="5">#REF!</definedName>
    <definedName name="_136.测试">#REF!</definedName>
    <definedName name="_136.测试结果截图" localSheetId="4">#REF!</definedName>
    <definedName name="_136.测试结果截图" localSheetId="5">#REF!</definedName>
    <definedName name="_136.测试结果截图">#REF!</definedName>
    <definedName name="_136.测试截图" localSheetId="4">#REF!</definedName>
    <definedName name="_136.测试截图" localSheetId="5">#REF!</definedName>
    <definedName name="_136.测试截图">#REF!</definedName>
    <definedName name="_137.测试" localSheetId="4">#REF!</definedName>
    <definedName name="_137.测试" localSheetId="5">#REF!</definedName>
    <definedName name="_137.测试">#REF!</definedName>
    <definedName name="_137.测试结果截图" localSheetId="4">#REF!</definedName>
    <definedName name="_137.测试结果截图" localSheetId="5">#REF!</definedName>
    <definedName name="_137.测试结果截图">#REF!</definedName>
    <definedName name="_137.测试截图" localSheetId="4">#REF!</definedName>
    <definedName name="_137.测试截图" localSheetId="5">#REF!</definedName>
    <definedName name="_137.测试截图">#REF!</definedName>
    <definedName name="_138.测试" localSheetId="4">#REF!</definedName>
    <definedName name="_138.测试" localSheetId="5">#REF!</definedName>
    <definedName name="_138.测试">#REF!</definedName>
    <definedName name="_138.测试结果截图" localSheetId="4">#REF!</definedName>
    <definedName name="_138.测试结果截图" localSheetId="5">#REF!</definedName>
    <definedName name="_138.测试结果截图">#REF!</definedName>
    <definedName name="_138.测试截图" localSheetId="4">#REF!</definedName>
    <definedName name="_138.测试截图" localSheetId="5">#REF!</definedName>
    <definedName name="_138.测试截图">#REF!</definedName>
    <definedName name="_139.测试" localSheetId="4">#REF!</definedName>
    <definedName name="_139.测试" localSheetId="5">#REF!</definedName>
    <definedName name="_139.测试">#REF!</definedName>
    <definedName name="_139.测试结果截图" localSheetId="4">#REF!</definedName>
    <definedName name="_139.测试结果截图" localSheetId="5">#REF!</definedName>
    <definedName name="_139.测试结果截图">#REF!</definedName>
    <definedName name="_139.测试截图" localSheetId="4">#REF!</definedName>
    <definedName name="_139.测试截图" localSheetId="5">#REF!</definedName>
    <definedName name="_139.测试截图">#REF!</definedName>
    <definedName name="_14.测试结果截图" localSheetId="4">#REF!</definedName>
    <definedName name="_14.测试结果截图" localSheetId="5">#REF!</definedName>
    <definedName name="_14.测试结果截图">#REF!</definedName>
    <definedName name="_14.测试截图" localSheetId="4">#REF!</definedName>
    <definedName name="_14.测试截图" localSheetId="5">#REF!</definedName>
    <definedName name="_14.测试截图">#REF!</definedName>
    <definedName name="_14.截图" localSheetId="4">#REF!</definedName>
    <definedName name="_14.截图" localSheetId="5">#REF!</definedName>
    <definedName name="_14.截图">#REF!</definedName>
    <definedName name="_140.测试" localSheetId="4">#REF!</definedName>
    <definedName name="_140.测试" localSheetId="5">#REF!</definedName>
    <definedName name="_140.测试">#REF!</definedName>
    <definedName name="_140.测试结果截图" localSheetId="4">#REF!</definedName>
    <definedName name="_140.测试结果截图" localSheetId="5">#REF!</definedName>
    <definedName name="_140.测试结果截图">#REF!</definedName>
    <definedName name="_140.测试截图" localSheetId="4">#REF!</definedName>
    <definedName name="_140.测试截图" localSheetId="5">#REF!</definedName>
    <definedName name="_140.测试截图">#REF!</definedName>
    <definedName name="_141.测试" localSheetId="4">#REF!</definedName>
    <definedName name="_141.测试" localSheetId="5">#REF!</definedName>
    <definedName name="_141.测试">#REF!</definedName>
    <definedName name="_141.测试结果截图" localSheetId="4">#REF!</definedName>
    <definedName name="_141.测试结果截图" localSheetId="5">#REF!</definedName>
    <definedName name="_141.测试结果截图">#REF!</definedName>
    <definedName name="_141.测试截图" localSheetId="4">#REF!</definedName>
    <definedName name="_141.测试截图" localSheetId="5">#REF!</definedName>
    <definedName name="_141.测试截图">#REF!</definedName>
    <definedName name="_142.测试" localSheetId="4">#REF!</definedName>
    <definedName name="_142.测试" localSheetId="5">#REF!</definedName>
    <definedName name="_142.测试">#REF!</definedName>
    <definedName name="_142.测试结果截图" localSheetId="4">#REF!</definedName>
    <definedName name="_142.测试结果截图" localSheetId="5">#REF!</definedName>
    <definedName name="_142.测试结果截图">#REF!</definedName>
    <definedName name="_142.测试截图" localSheetId="4">#REF!</definedName>
    <definedName name="_142.测试截图" localSheetId="5">#REF!</definedName>
    <definedName name="_142.测试截图">#REF!</definedName>
    <definedName name="_143.测试" localSheetId="4">#REF!</definedName>
    <definedName name="_143.测试" localSheetId="5">#REF!</definedName>
    <definedName name="_143.测试">#REF!</definedName>
    <definedName name="_143.测试结果截图" localSheetId="4">#REF!</definedName>
    <definedName name="_143.测试结果截图" localSheetId="5">#REF!</definedName>
    <definedName name="_143.测试结果截图">#REF!</definedName>
    <definedName name="_143.测试截图" localSheetId="4">#REF!</definedName>
    <definedName name="_143.测试截图" localSheetId="5">#REF!</definedName>
    <definedName name="_143.测试截图">#REF!</definedName>
    <definedName name="_144.测试" localSheetId="4">#REF!</definedName>
    <definedName name="_144.测试" localSheetId="5">#REF!</definedName>
    <definedName name="_144.测试">#REF!</definedName>
    <definedName name="_144.测试结果截图" localSheetId="4">#REF!</definedName>
    <definedName name="_144.测试结果截图" localSheetId="5">#REF!</definedName>
    <definedName name="_144.测试结果截图">#REF!</definedName>
    <definedName name="_144.测试截图" localSheetId="4">#REF!</definedName>
    <definedName name="_144.测试截图" localSheetId="5">#REF!</definedName>
    <definedName name="_144.测试截图">#REF!</definedName>
    <definedName name="_145.测试" localSheetId="4">#REF!</definedName>
    <definedName name="_145.测试" localSheetId="5">#REF!</definedName>
    <definedName name="_145.测试">#REF!</definedName>
    <definedName name="_145.测试结果截图" localSheetId="4">#REF!</definedName>
    <definedName name="_145.测试结果截图" localSheetId="5">#REF!</definedName>
    <definedName name="_145.测试结果截图">#REF!</definedName>
    <definedName name="_145.测试截图" localSheetId="4">#REF!</definedName>
    <definedName name="_145.测试截图" localSheetId="5">#REF!</definedName>
    <definedName name="_145.测试截图">#REF!</definedName>
    <definedName name="_146.测试" localSheetId="4">#REF!</definedName>
    <definedName name="_146.测试" localSheetId="5">#REF!</definedName>
    <definedName name="_146.测试">#REF!</definedName>
    <definedName name="_146.测试结果截图" localSheetId="4">#REF!</definedName>
    <definedName name="_146.测试结果截图" localSheetId="5">#REF!</definedName>
    <definedName name="_146.测试结果截图">#REF!</definedName>
    <definedName name="_146.测试截图" localSheetId="4">#REF!</definedName>
    <definedName name="_146.测试截图" localSheetId="5">#REF!</definedName>
    <definedName name="_146.测试截图">#REF!</definedName>
    <definedName name="_146.截图" localSheetId="4">#REF!</definedName>
    <definedName name="_146.截图" localSheetId="5">#REF!</definedName>
    <definedName name="_146.截图">#REF!</definedName>
    <definedName name="_147.测试结果截图" localSheetId="4">#REF!</definedName>
    <definedName name="_147.测试结果截图" localSheetId="5">#REF!</definedName>
    <definedName name="_147.测试结果截图">#REF!</definedName>
    <definedName name="_147.测试截图" localSheetId="4">#REF!</definedName>
    <definedName name="_147.测试截图" localSheetId="5">#REF!</definedName>
    <definedName name="_147.测试截图">#REF!</definedName>
    <definedName name="_147.截图" localSheetId="4">#REF!</definedName>
    <definedName name="_147.截图" localSheetId="5">#REF!</definedName>
    <definedName name="_147.截图">#REF!</definedName>
    <definedName name="_148.测试结果截图" localSheetId="4">#REF!</definedName>
    <definedName name="_148.测试结果截图" localSheetId="5">#REF!</definedName>
    <definedName name="_148.测试结果截图">#REF!</definedName>
    <definedName name="_148.测试截图" localSheetId="4">#REF!</definedName>
    <definedName name="_148.测试截图" localSheetId="5">#REF!</definedName>
    <definedName name="_148.测试截图">#REF!</definedName>
    <definedName name="_149.测试结果截图" localSheetId="4">#REF!</definedName>
    <definedName name="_149.测试结果截图" localSheetId="5">#REF!</definedName>
    <definedName name="_149.测试结果截图">#REF!</definedName>
    <definedName name="_149.测试截图" localSheetId="4">#REF!</definedName>
    <definedName name="_149.测试截图" localSheetId="5">#REF!</definedName>
    <definedName name="_149.测试截图">#REF!</definedName>
    <definedName name="_15.测试结果截图" localSheetId="4">#REF!</definedName>
    <definedName name="_15.测试结果截图" localSheetId="5">#REF!</definedName>
    <definedName name="_15.测试结果截图">#REF!</definedName>
    <definedName name="_15.测试截图" localSheetId="4">#REF!</definedName>
    <definedName name="_15.测试截图" localSheetId="5">#REF!</definedName>
    <definedName name="_15.测试截图">#REF!</definedName>
    <definedName name="_15.截图" localSheetId="4">#REF!</definedName>
    <definedName name="_15.截图" localSheetId="5">#REF!</definedName>
    <definedName name="_15.截图">#REF!</definedName>
    <definedName name="_150.测试结果截图" localSheetId="4">#REF!</definedName>
    <definedName name="_150.测试结果截图" localSheetId="5">#REF!</definedName>
    <definedName name="_150.测试结果截图">#REF!</definedName>
    <definedName name="_150.测试截图" localSheetId="4">#REF!</definedName>
    <definedName name="_150.测试截图" localSheetId="5">#REF!</definedName>
    <definedName name="_150.测试截图">#REF!</definedName>
    <definedName name="_151.测试结果截图" localSheetId="4">#REF!</definedName>
    <definedName name="_151.测试结果截图" localSheetId="5">#REF!</definedName>
    <definedName name="_151.测试结果截图">#REF!</definedName>
    <definedName name="_151.测试截图" localSheetId="4">#REF!</definedName>
    <definedName name="_151.测试截图" localSheetId="5">#REF!</definedName>
    <definedName name="_151.测试截图">#REF!</definedName>
    <definedName name="_152.测试结果截图" localSheetId="4">#REF!</definedName>
    <definedName name="_152.测试结果截图" localSheetId="5">#REF!</definedName>
    <definedName name="_152.测试结果截图">#REF!</definedName>
    <definedName name="_152.测试截图" localSheetId="4">#REF!</definedName>
    <definedName name="_152.测试截图" localSheetId="5">#REF!</definedName>
    <definedName name="_152.测试截图">#REF!</definedName>
    <definedName name="_153.测试" localSheetId="4">#REF!</definedName>
    <definedName name="_153.测试" localSheetId="5">#REF!</definedName>
    <definedName name="_153.测试">#REF!</definedName>
    <definedName name="_153.测试截图" localSheetId="4">#REF!</definedName>
    <definedName name="_153.测试截图" localSheetId="5">#REF!</definedName>
    <definedName name="_153.测试截图">#REF!</definedName>
    <definedName name="_154.测试截图" localSheetId="4">#REF!</definedName>
    <definedName name="_154.测试截图" localSheetId="5">#REF!</definedName>
    <definedName name="_154.测试截图">#REF!</definedName>
    <definedName name="_155.测试截图" localSheetId="4">#REF!</definedName>
    <definedName name="_155.测试截图" localSheetId="5">#REF!</definedName>
    <definedName name="_155.测试截图">#REF!</definedName>
    <definedName name="_16.测试结果截图" localSheetId="4">#REF!</definedName>
    <definedName name="_16.测试结果截图" localSheetId="5">#REF!</definedName>
    <definedName name="_16.测试结果截图">#REF!</definedName>
    <definedName name="_16.测试截图" localSheetId="4">#REF!</definedName>
    <definedName name="_16.测试截图" localSheetId="5">#REF!</definedName>
    <definedName name="_16.测试截图">#REF!</definedName>
    <definedName name="_16.截图" localSheetId="4">#REF!</definedName>
    <definedName name="_16.截图" localSheetId="5">#REF!</definedName>
    <definedName name="_16.截图">#REF!</definedName>
    <definedName name="_17.测试结果截图" localSheetId="4">#REF!</definedName>
    <definedName name="_17.测试结果截图" localSheetId="5">#REF!</definedName>
    <definedName name="_17.测试结果截图">#REF!</definedName>
    <definedName name="_17.测试截图" localSheetId="4">#REF!</definedName>
    <definedName name="_17.测试截图" localSheetId="5">#REF!</definedName>
    <definedName name="_17.测试截图">#REF!</definedName>
    <definedName name="_17.截图" localSheetId="4">#REF!</definedName>
    <definedName name="_17.截图" localSheetId="5">#REF!</definedName>
    <definedName name="_17.截图">#REF!</definedName>
    <definedName name="_18.测试结果截图" localSheetId="4">#REF!</definedName>
    <definedName name="_18.测试结果截图" localSheetId="5">#REF!</definedName>
    <definedName name="_18.测试结果截图">#REF!</definedName>
    <definedName name="_18.测试截图" localSheetId="4">#REF!</definedName>
    <definedName name="_18.测试截图" localSheetId="5">#REF!</definedName>
    <definedName name="_18.测试截图">#REF!</definedName>
    <definedName name="_18.截图" localSheetId="4">#REF!</definedName>
    <definedName name="_18.截图" localSheetId="5">#REF!</definedName>
    <definedName name="_18.截图">#REF!</definedName>
    <definedName name="_19.测试结果截图" localSheetId="4">#REF!</definedName>
    <definedName name="_19.测试结果截图" localSheetId="5">#REF!</definedName>
    <definedName name="_19.测试结果截图">#REF!</definedName>
    <definedName name="_19.测试截图" localSheetId="4">#REF!</definedName>
    <definedName name="_19.测试截图" localSheetId="5">#REF!</definedName>
    <definedName name="_19.测试截图">#REF!</definedName>
    <definedName name="_19.截图" localSheetId="4">#REF!</definedName>
    <definedName name="_19.截图" localSheetId="5">#REF!</definedName>
    <definedName name="_19.截图">#REF!</definedName>
    <definedName name="_2" localSheetId="4">#REF!</definedName>
    <definedName name="_2">#REF!</definedName>
    <definedName name="_2.测试结果截图" localSheetId="4">#REF!</definedName>
    <definedName name="_2.测试结果截图" localSheetId="5">#REF!</definedName>
    <definedName name="_2.测试结果截图">#REF!</definedName>
    <definedName name="_2.测试截图" localSheetId="4">#REF!</definedName>
    <definedName name="_2.测试截图" localSheetId="5">#REF!</definedName>
    <definedName name="_2.测试截图">#REF!</definedName>
    <definedName name="_2.截图" localSheetId="4">#REF!</definedName>
    <definedName name="_2.截图" localSheetId="5">#REF!</definedName>
    <definedName name="_2.截图">#REF!</definedName>
    <definedName name="_20.测试结果截图" localSheetId="4">#REF!</definedName>
    <definedName name="_20.测试结果截图" localSheetId="5">#REF!</definedName>
    <definedName name="_20.测试结果截图">#REF!</definedName>
    <definedName name="_20.测试截图" localSheetId="4">#REF!</definedName>
    <definedName name="_20.测试截图" localSheetId="5">#REF!</definedName>
    <definedName name="_20.测试截图">#REF!</definedName>
    <definedName name="_20.截图" localSheetId="4">#REF!</definedName>
    <definedName name="_20.截图" localSheetId="5">#REF!</definedName>
    <definedName name="_20.截图">#REF!</definedName>
    <definedName name="_21.测试结果截图" localSheetId="4">#REF!</definedName>
    <definedName name="_21.测试结果截图" localSheetId="5">#REF!</definedName>
    <definedName name="_21.测试结果截图">#REF!</definedName>
    <definedName name="_21.测试截图" localSheetId="4">#REF!</definedName>
    <definedName name="_21.测试截图" localSheetId="5">#REF!</definedName>
    <definedName name="_21.测试截图">#REF!</definedName>
    <definedName name="_21.截图" localSheetId="4">#REF!</definedName>
    <definedName name="_21.截图" localSheetId="5">#REF!</definedName>
    <definedName name="_21.截图">#REF!</definedName>
    <definedName name="_22.测试结果截图" localSheetId="4">#REF!</definedName>
    <definedName name="_22.测试结果截图" localSheetId="5">#REF!</definedName>
    <definedName name="_22.测试结果截图">#REF!</definedName>
    <definedName name="_22.测试截图" localSheetId="4">#REF!</definedName>
    <definedName name="_22.测试截图" localSheetId="5">#REF!</definedName>
    <definedName name="_22.测试截图">#REF!</definedName>
    <definedName name="_22.截图" localSheetId="4">#REF!</definedName>
    <definedName name="_22.截图" localSheetId="5">#REF!</definedName>
    <definedName name="_22.截图">#REF!</definedName>
    <definedName name="_23" localSheetId="4">#REF!</definedName>
    <definedName name="_23">#REF!</definedName>
    <definedName name="_23.测试结果截图" localSheetId="4">#REF!</definedName>
    <definedName name="_23.测试结果截图" localSheetId="5">#REF!</definedName>
    <definedName name="_23.测试结果截图">#REF!</definedName>
    <definedName name="_23.测试截图" localSheetId="4">#REF!</definedName>
    <definedName name="_23.测试截图" localSheetId="5">#REF!</definedName>
    <definedName name="_23.测试截图">#REF!</definedName>
    <definedName name="_23.截图" localSheetId="4">#REF!</definedName>
    <definedName name="_23.截图" localSheetId="5">#REF!</definedName>
    <definedName name="_23.截图">#REF!</definedName>
    <definedName name="_24.测试结果截图" localSheetId="4">#REF!</definedName>
    <definedName name="_24.测试结果截图" localSheetId="5">#REF!</definedName>
    <definedName name="_24.测试结果截图">#REF!</definedName>
    <definedName name="_24.测试截图" localSheetId="4">#REF!</definedName>
    <definedName name="_24.测试截图" localSheetId="5">#REF!</definedName>
    <definedName name="_24.测试截图">#REF!</definedName>
    <definedName name="_24.截图" localSheetId="4">#REF!</definedName>
    <definedName name="_24.截图" localSheetId="5">#REF!</definedName>
    <definedName name="_24.截图">#REF!</definedName>
    <definedName name="_25.测试结果截图" localSheetId="4">#REF!</definedName>
    <definedName name="_25.测试结果截图" localSheetId="5">#REF!</definedName>
    <definedName name="_25.测试结果截图">#REF!</definedName>
    <definedName name="_25.截图" localSheetId="4">#REF!</definedName>
    <definedName name="_25.截图" localSheetId="5">#REF!</definedName>
    <definedName name="_25.截图">#REF!</definedName>
    <definedName name="_26.测试结果截图" localSheetId="4">#REF!</definedName>
    <definedName name="_26.测试结果截图" localSheetId="5">#REF!</definedName>
    <definedName name="_26.测试结果截图">#REF!</definedName>
    <definedName name="_26.截图" localSheetId="4">#REF!</definedName>
    <definedName name="_26.截图" localSheetId="5">#REF!</definedName>
    <definedName name="_26.截图">#REF!</definedName>
    <definedName name="_27.测试结果截图" localSheetId="4">#REF!</definedName>
    <definedName name="_27.测试结果截图" localSheetId="5">#REF!</definedName>
    <definedName name="_27.测试结果截图">#REF!</definedName>
    <definedName name="_27.截图" localSheetId="4">#REF!</definedName>
    <definedName name="_27.截图" localSheetId="5">#REF!</definedName>
    <definedName name="_27.截图">#REF!</definedName>
    <definedName name="_28.测试结果截图" localSheetId="4">#REF!</definedName>
    <definedName name="_28.测试结果截图" localSheetId="5">#REF!</definedName>
    <definedName name="_28.测试结果截图">#REF!</definedName>
    <definedName name="_28.截图" localSheetId="4">#REF!</definedName>
    <definedName name="_28.截图" localSheetId="5">#REF!</definedName>
    <definedName name="_28.截图">#REF!</definedName>
    <definedName name="_29.测试结果截图" localSheetId="4">#REF!</definedName>
    <definedName name="_29.测试结果截图" localSheetId="5">#REF!</definedName>
    <definedName name="_29.测试结果截图">#REF!</definedName>
    <definedName name="_29.截图" localSheetId="4">#REF!</definedName>
    <definedName name="_29.截图" localSheetId="5">#REF!</definedName>
    <definedName name="_29.截图">#REF!</definedName>
    <definedName name="_3.测试结果截图" localSheetId="4">#REF!</definedName>
    <definedName name="_3.测试结果截图" localSheetId="5">#REF!</definedName>
    <definedName name="_3.测试结果截图">#REF!</definedName>
    <definedName name="_3.测试截图" localSheetId="4">#REF!</definedName>
    <definedName name="_3.测试截图" localSheetId="5">#REF!</definedName>
    <definedName name="_3.测试截图">#REF!</definedName>
    <definedName name="_3.截图" localSheetId="4">#REF!</definedName>
    <definedName name="_3.截图" localSheetId="5">#REF!</definedName>
    <definedName name="_3.截图">#REF!</definedName>
    <definedName name="_30.测试结果截图" localSheetId="4">#REF!</definedName>
    <definedName name="_30.测试结果截图" localSheetId="5">#REF!</definedName>
    <definedName name="_30.测试结果截图">#REF!</definedName>
    <definedName name="_30.截图" localSheetId="4">#REF!</definedName>
    <definedName name="_30.截图" localSheetId="5">#REF!</definedName>
    <definedName name="_30.截图">#REF!</definedName>
    <definedName name="_31.测试结果截图" localSheetId="4">#REF!</definedName>
    <definedName name="_31.测试结果截图" localSheetId="5">#REF!</definedName>
    <definedName name="_31.测试结果截图">#REF!</definedName>
    <definedName name="_31.截图" localSheetId="4">#REF!</definedName>
    <definedName name="_31.截图" localSheetId="5">#REF!</definedName>
    <definedName name="_31.截图">#REF!</definedName>
    <definedName name="_32.测试结果截图" localSheetId="4">#REF!</definedName>
    <definedName name="_32.测试结果截图" localSheetId="5">#REF!</definedName>
    <definedName name="_32.测试结果截图">#REF!</definedName>
    <definedName name="_32.截图" localSheetId="4">#REF!</definedName>
    <definedName name="_32.截图" localSheetId="5">#REF!</definedName>
    <definedName name="_32.截图">#REF!</definedName>
    <definedName name="_33.测试结果截图" localSheetId="4">#REF!</definedName>
    <definedName name="_33.测试结果截图" localSheetId="5">#REF!</definedName>
    <definedName name="_33.测试结果截图">#REF!</definedName>
    <definedName name="_33.截图" localSheetId="4">#REF!</definedName>
    <definedName name="_33.截图" localSheetId="5">#REF!</definedName>
    <definedName name="_33.截图">#REF!</definedName>
    <definedName name="_34.测试结果截图" localSheetId="4">#REF!</definedName>
    <definedName name="_34.测试结果截图" localSheetId="5">#REF!</definedName>
    <definedName name="_34.测试结果截图">#REF!</definedName>
    <definedName name="_34.截图" localSheetId="4">#REF!</definedName>
    <definedName name="_34.截图" localSheetId="5">#REF!</definedName>
    <definedName name="_34.截图">#REF!</definedName>
    <definedName name="_35.测试结果截图" localSheetId="4">#REF!</definedName>
    <definedName name="_35.测试结果截图" localSheetId="5">#REF!</definedName>
    <definedName name="_35.测试结果截图">#REF!</definedName>
    <definedName name="_35.截图" localSheetId="4">#REF!</definedName>
    <definedName name="_35.截图" localSheetId="5">#REF!</definedName>
    <definedName name="_35.截图">#REF!</definedName>
    <definedName name="_36.测试结果截图" localSheetId="4">#REF!</definedName>
    <definedName name="_36.测试结果截图" localSheetId="5">#REF!</definedName>
    <definedName name="_36.测试结果截图">#REF!</definedName>
    <definedName name="_36.截图" localSheetId="4">#REF!</definedName>
    <definedName name="_36.截图" localSheetId="5">#REF!</definedName>
    <definedName name="_36.截图">#REF!</definedName>
    <definedName name="_37.测试结果截图" localSheetId="4">#REF!</definedName>
    <definedName name="_37.测试结果截图" localSheetId="5">#REF!</definedName>
    <definedName name="_37.测试结果截图">#REF!</definedName>
    <definedName name="_37.截图" localSheetId="4">#REF!</definedName>
    <definedName name="_37.截图" localSheetId="5">#REF!</definedName>
    <definedName name="_37.截图">#REF!</definedName>
    <definedName name="_38.测试结果截图" localSheetId="4">#REF!</definedName>
    <definedName name="_38.测试结果截图" localSheetId="5">#REF!</definedName>
    <definedName name="_38.测试结果截图">#REF!</definedName>
    <definedName name="_38.截图" localSheetId="4">#REF!</definedName>
    <definedName name="_38.截图" localSheetId="5">#REF!</definedName>
    <definedName name="_38.截图">#REF!</definedName>
    <definedName name="_39.测试结果截图" localSheetId="4">#REF!</definedName>
    <definedName name="_39.测试结果截图" localSheetId="5">#REF!</definedName>
    <definedName name="_39.测试结果截图">#REF!</definedName>
    <definedName name="_39.截图" localSheetId="4">#REF!</definedName>
    <definedName name="_39.截图" localSheetId="5">#REF!</definedName>
    <definedName name="_39.截图">#REF!</definedName>
    <definedName name="_4.0.0.130228.k.B" localSheetId="4">#REF!</definedName>
    <definedName name="_4.0.0.130228.k.B" localSheetId="5">#REF!</definedName>
    <definedName name="_4.0.0.130228.k.B">#REF!</definedName>
    <definedName name="_4.测试结果截图" localSheetId="4">#REF!</definedName>
    <definedName name="_4.测试结果截图" localSheetId="5">#REF!</definedName>
    <definedName name="_4.测试结果截图">#REF!</definedName>
    <definedName name="_4.测试截图" localSheetId="4">#REF!</definedName>
    <definedName name="_4.测试截图" localSheetId="5">#REF!</definedName>
    <definedName name="_4.测试截图">#REF!</definedName>
    <definedName name="_4.截图" localSheetId="4">#REF!</definedName>
    <definedName name="_4.截图" localSheetId="5">#REF!</definedName>
    <definedName name="_4.截图">#REF!</definedName>
    <definedName name="_40.测试结果截图" localSheetId="4">#REF!</definedName>
    <definedName name="_40.测试结果截图" localSheetId="5">#REF!</definedName>
    <definedName name="_40.测试结果截图">#REF!</definedName>
    <definedName name="_40.截图" localSheetId="4">#REF!</definedName>
    <definedName name="_40.截图" localSheetId="5">#REF!</definedName>
    <definedName name="_40.截图">#REF!</definedName>
    <definedName name="_41.测试结果截图" localSheetId="4">#REF!</definedName>
    <definedName name="_41.测试结果截图" localSheetId="5">#REF!</definedName>
    <definedName name="_41.测试结果截图">#REF!</definedName>
    <definedName name="_41.截图" localSheetId="4">#REF!</definedName>
    <definedName name="_41.截图" localSheetId="5">#REF!</definedName>
    <definedName name="_41.截图">#REF!</definedName>
    <definedName name="_42.测试结果截图" localSheetId="4">#REF!</definedName>
    <definedName name="_42.测试结果截图" localSheetId="5">#REF!</definedName>
    <definedName name="_42.测试结果截图">#REF!</definedName>
    <definedName name="_42.截图" localSheetId="4">#REF!</definedName>
    <definedName name="_42.截图" localSheetId="5">#REF!</definedName>
    <definedName name="_42.截图">#REF!</definedName>
    <definedName name="_43.测试结果截图" localSheetId="4">#REF!</definedName>
    <definedName name="_43.测试结果截图" localSheetId="5">#REF!</definedName>
    <definedName name="_43.测试结果截图">#REF!</definedName>
    <definedName name="_43.截图" localSheetId="4">#REF!</definedName>
    <definedName name="_43.截图" localSheetId="5">#REF!</definedName>
    <definedName name="_43.截图">#REF!</definedName>
    <definedName name="_44.测试结果截图" localSheetId="4">#REF!</definedName>
    <definedName name="_44.测试结果截图" localSheetId="5">#REF!</definedName>
    <definedName name="_44.测试结果截图">#REF!</definedName>
    <definedName name="_44.截图" localSheetId="4">#REF!</definedName>
    <definedName name="_44.截图" localSheetId="5">#REF!</definedName>
    <definedName name="_44.截图">#REF!</definedName>
    <definedName name="_45.测试结果截图" localSheetId="4">#REF!</definedName>
    <definedName name="_45.测试结果截图" localSheetId="5">#REF!</definedName>
    <definedName name="_45.测试结果截图">#REF!</definedName>
    <definedName name="_45.截图" localSheetId="4">#REF!</definedName>
    <definedName name="_45.截图" localSheetId="5">#REF!</definedName>
    <definedName name="_45.截图">#REF!</definedName>
    <definedName name="_46.测试结果截图" localSheetId="4">#REF!</definedName>
    <definedName name="_46.测试结果截图" localSheetId="5">#REF!</definedName>
    <definedName name="_46.测试结果截图">#REF!</definedName>
    <definedName name="_47.测试结果截图" localSheetId="4">#REF!</definedName>
    <definedName name="_47.测试结果截图" localSheetId="5">#REF!</definedName>
    <definedName name="_47.测试结果截图">#REF!</definedName>
    <definedName name="_48.测试结果截图" localSheetId="4">#REF!</definedName>
    <definedName name="_48.测试结果截图" localSheetId="5">#REF!</definedName>
    <definedName name="_48.测试结果截图">#REF!</definedName>
    <definedName name="_48.截图" localSheetId="4">#REF!</definedName>
    <definedName name="_48.截图" localSheetId="5">#REF!</definedName>
    <definedName name="_48.截图">#REF!</definedName>
    <definedName name="_49.测试结果截图" localSheetId="4">#REF!</definedName>
    <definedName name="_49.测试结果截图" localSheetId="5">#REF!</definedName>
    <definedName name="_49.测试结果截图">#REF!</definedName>
    <definedName name="_49.截图" localSheetId="4">#REF!</definedName>
    <definedName name="_49.截图" localSheetId="5">#REF!</definedName>
    <definedName name="_49.截图">#REF!</definedName>
    <definedName name="_5.测试结果截图" localSheetId="4">#REF!</definedName>
    <definedName name="_5.测试结果截图" localSheetId="5">#REF!</definedName>
    <definedName name="_5.测试结果截图">#REF!</definedName>
    <definedName name="_5.测试截图" localSheetId="4">#REF!</definedName>
    <definedName name="_5.测试截图" localSheetId="5">#REF!</definedName>
    <definedName name="_5.测试截图">#REF!</definedName>
    <definedName name="_5.截图" localSheetId="4">#REF!</definedName>
    <definedName name="_5.截图" localSheetId="5">#REF!</definedName>
    <definedName name="_5.截图">#REF!</definedName>
    <definedName name="_50.测试结果截图" localSheetId="4">#REF!</definedName>
    <definedName name="_50.测试结果截图" localSheetId="5">#REF!</definedName>
    <definedName name="_50.测试结果截图">#REF!</definedName>
    <definedName name="_50.截图" localSheetId="4">#REF!</definedName>
    <definedName name="_50.截图" localSheetId="5">#REF!</definedName>
    <definedName name="_50.截图">#REF!</definedName>
    <definedName name="_51.测试结果截图" localSheetId="4">#REF!</definedName>
    <definedName name="_51.测试结果截图" localSheetId="5">#REF!</definedName>
    <definedName name="_51.测试结果截图">#REF!</definedName>
    <definedName name="_51.截图" localSheetId="4">#REF!</definedName>
    <definedName name="_51.截图" localSheetId="5">#REF!</definedName>
    <definedName name="_51.截图">#REF!</definedName>
    <definedName name="_52.测试结果截图" localSheetId="4">#REF!</definedName>
    <definedName name="_52.测试结果截图" localSheetId="5">#REF!</definedName>
    <definedName name="_52.测试结果截图">#REF!</definedName>
    <definedName name="_52.截图" localSheetId="4">#REF!</definedName>
    <definedName name="_52.截图" localSheetId="5">#REF!</definedName>
    <definedName name="_52.截图">#REF!</definedName>
    <definedName name="_53.测试结果截图" localSheetId="4">#REF!</definedName>
    <definedName name="_53.测试结果截图" localSheetId="5">#REF!</definedName>
    <definedName name="_53.测试结果截图">#REF!</definedName>
    <definedName name="_53.截图" localSheetId="4">#REF!</definedName>
    <definedName name="_53.截图" localSheetId="5">#REF!</definedName>
    <definedName name="_53.截图">#REF!</definedName>
    <definedName name="_54.测试结果截图" localSheetId="4">#REF!</definedName>
    <definedName name="_54.测试结果截图" localSheetId="5">#REF!</definedName>
    <definedName name="_54.测试结果截图">#REF!</definedName>
    <definedName name="_54.截图" localSheetId="4">#REF!</definedName>
    <definedName name="_54.截图" localSheetId="5">#REF!</definedName>
    <definedName name="_54.截图">#REF!</definedName>
    <definedName name="_55.测试结果截图" localSheetId="4">#REF!</definedName>
    <definedName name="_55.测试结果截图" localSheetId="5">#REF!</definedName>
    <definedName name="_55.测试结果截图">#REF!</definedName>
    <definedName name="_55.截图" localSheetId="4">#REF!</definedName>
    <definedName name="_55.截图" localSheetId="5">#REF!</definedName>
    <definedName name="_55.截图">#REF!</definedName>
    <definedName name="_56.测试结果截图" localSheetId="4">#REF!</definedName>
    <definedName name="_56.测试结果截图" localSheetId="5">#REF!</definedName>
    <definedName name="_56.测试结果截图">#REF!</definedName>
    <definedName name="_56.截图" localSheetId="4">#REF!</definedName>
    <definedName name="_56.截图" localSheetId="5">#REF!</definedName>
    <definedName name="_56.截图">#REF!</definedName>
    <definedName name="_57.测试结果截图" localSheetId="4">#REF!</definedName>
    <definedName name="_57.测试结果截图" localSheetId="5">#REF!</definedName>
    <definedName name="_57.测试结果截图">#REF!</definedName>
    <definedName name="_57.截图" localSheetId="4">#REF!</definedName>
    <definedName name="_57.截图" localSheetId="5">#REF!</definedName>
    <definedName name="_57.截图">#REF!</definedName>
    <definedName name="_58.测试结果截图" localSheetId="4">#REF!</definedName>
    <definedName name="_58.测试结果截图" localSheetId="5">#REF!</definedName>
    <definedName name="_58.测试结果截图">#REF!</definedName>
    <definedName name="_58.截图" localSheetId="4">#REF!</definedName>
    <definedName name="_58.截图" localSheetId="5">#REF!</definedName>
    <definedName name="_58.截图">#REF!</definedName>
    <definedName name="_59.测试结果截图" localSheetId="4">#REF!</definedName>
    <definedName name="_59.测试结果截图" localSheetId="5">#REF!</definedName>
    <definedName name="_59.测试结果截图">#REF!</definedName>
    <definedName name="_59.截图" localSheetId="4">#REF!</definedName>
    <definedName name="_59.截图" localSheetId="5">#REF!</definedName>
    <definedName name="_59.截图">#REF!</definedName>
    <definedName name="_5EA0_66350" localSheetId="4">#REF!</definedName>
    <definedName name="_5EA0_66350" localSheetId="5">#REF!</definedName>
    <definedName name="_5EA0_66350">#REF!</definedName>
    <definedName name="_6.测试结果截图" localSheetId="4">#REF!</definedName>
    <definedName name="_6.测试结果截图" localSheetId="5">#REF!</definedName>
    <definedName name="_6.测试结果截图">#REF!</definedName>
    <definedName name="_6.测试截图" localSheetId="4">#REF!</definedName>
    <definedName name="_6.测试截图" localSheetId="5">#REF!</definedName>
    <definedName name="_6.测试截图">#REF!</definedName>
    <definedName name="_6.截图" localSheetId="4">#REF!</definedName>
    <definedName name="_6.截图" localSheetId="5">#REF!</definedName>
    <definedName name="_6.截图">#REF!</definedName>
    <definedName name="_60.测试结果截图" localSheetId="4">#REF!</definedName>
    <definedName name="_60.测试结果截图" localSheetId="5">#REF!</definedName>
    <definedName name="_60.测试结果截图">#REF!</definedName>
    <definedName name="_60.截图" localSheetId="4">#REF!</definedName>
    <definedName name="_60.截图" localSheetId="5">#REF!</definedName>
    <definedName name="_60.截图">#REF!</definedName>
    <definedName name="_61.测试结果截图" localSheetId="4">#REF!</definedName>
    <definedName name="_61.测试结果截图" localSheetId="5">#REF!</definedName>
    <definedName name="_61.测试结果截图">#REF!</definedName>
    <definedName name="_61.截图" localSheetId="4">#REF!</definedName>
    <definedName name="_61.截图" localSheetId="5">#REF!</definedName>
    <definedName name="_61.截图">#REF!</definedName>
    <definedName name="_62.测试结果截图" localSheetId="4">#REF!</definedName>
    <definedName name="_62.测试结果截图" localSheetId="5">#REF!</definedName>
    <definedName name="_62.测试结果截图">#REF!</definedName>
    <definedName name="_62.截图" localSheetId="4">#REF!</definedName>
    <definedName name="_62.截图" localSheetId="5">#REF!</definedName>
    <definedName name="_62.截图">#REF!</definedName>
    <definedName name="_63.测试结果截图" localSheetId="4">#REF!</definedName>
    <definedName name="_63.测试结果截图" localSheetId="5">#REF!</definedName>
    <definedName name="_63.测试结果截图">#REF!</definedName>
    <definedName name="_63.截图" localSheetId="4">#REF!</definedName>
    <definedName name="_63.截图" localSheetId="5">#REF!</definedName>
    <definedName name="_63.截图">#REF!</definedName>
    <definedName name="_64.测试结果截图" localSheetId="4">#REF!</definedName>
    <definedName name="_64.测试结果截图" localSheetId="5">#REF!</definedName>
    <definedName name="_64.测试结果截图">#REF!</definedName>
    <definedName name="_64.截图" localSheetId="4">#REF!</definedName>
    <definedName name="_64.截图" localSheetId="5">#REF!</definedName>
    <definedName name="_64.截图">#REF!</definedName>
    <definedName name="_65.测试结果截图" localSheetId="4">#REF!</definedName>
    <definedName name="_65.测试结果截图" localSheetId="5">#REF!</definedName>
    <definedName name="_65.测试结果截图">#REF!</definedName>
    <definedName name="_65.截图" localSheetId="4">#REF!</definedName>
    <definedName name="_65.截图" localSheetId="5">#REF!</definedName>
    <definedName name="_65.截图">#REF!</definedName>
    <definedName name="_66.测试结果截图" localSheetId="4">#REF!</definedName>
    <definedName name="_66.测试结果截图" localSheetId="5">#REF!</definedName>
    <definedName name="_66.测试结果截图">#REF!</definedName>
    <definedName name="_66.截图" localSheetId="4">#REF!</definedName>
    <definedName name="_66.截图" localSheetId="5">#REF!</definedName>
    <definedName name="_66.截图">#REF!</definedName>
    <definedName name="_67.测试结果截图" localSheetId="4">#REF!</definedName>
    <definedName name="_67.测试结果截图" localSheetId="5">#REF!</definedName>
    <definedName name="_67.测试结果截图">#REF!</definedName>
    <definedName name="_67.截图" localSheetId="4">#REF!</definedName>
    <definedName name="_67.截图" localSheetId="5">#REF!</definedName>
    <definedName name="_67.截图">#REF!</definedName>
    <definedName name="_68.测试结果截图" localSheetId="4">#REF!</definedName>
    <definedName name="_68.测试结果截图" localSheetId="5">#REF!</definedName>
    <definedName name="_68.测试结果截图">#REF!</definedName>
    <definedName name="_68.截图" localSheetId="4">#REF!</definedName>
    <definedName name="_68.截图" localSheetId="5">#REF!</definedName>
    <definedName name="_68.截图">#REF!</definedName>
    <definedName name="_69.测试结果截图" localSheetId="4">#REF!</definedName>
    <definedName name="_69.测试结果截图" localSheetId="5">#REF!</definedName>
    <definedName name="_69.测试结果截图">#REF!</definedName>
    <definedName name="_69.截图" localSheetId="4">#REF!</definedName>
    <definedName name="_69.截图" localSheetId="5">#REF!</definedName>
    <definedName name="_69.截图">#REF!</definedName>
    <definedName name="_7.测试结果截图" localSheetId="4">#REF!</definedName>
    <definedName name="_7.测试结果截图" localSheetId="5">#REF!</definedName>
    <definedName name="_7.测试结果截图">#REF!</definedName>
    <definedName name="_7.测试截图" localSheetId="4">#REF!</definedName>
    <definedName name="_7.测试截图" localSheetId="5">#REF!</definedName>
    <definedName name="_7.测试截图">#REF!</definedName>
    <definedName name="_7.截图" localSheetId="4">#REF!</definedName>
    <definedName name="_7.截图" localSheetId="5">#REF!</definedName>
    <definedName name="_7.截图">#REF!</definedName>
    <definedName name="_70.测试结果截图" localSheetId="4">#REF!</definedName>
    <definedName name="_70.测试结果截图" localSheetId="5">#REF!</definedName>
    <definedName name="_70.测试结果截图">#REF!</definedName>
    <definedName name="_70.截图" localSheetId="4">#REF!</definedName>
    <definedName name="_70.截图" localSheetId="5">#REF!</definedName>
    <definedName name="_70.截图">#REF!</definedName>
    <definedName name="_71.测试结果截图" localSheetId="4">#REF!</definedName>
    <definedName name="_71.测试结果截图" localSheetId="5">#REF!</definedName>
    <definedName name="_71.测试结果截图">#REF!</definedName>
    <definedName name="_71.截图" localSheetId="4">#REF!</definedName>
    <definedName name="_71.截图" localSheetId="5">#REF!</definedName>
    <definedName name="_71.截图">#REF!</definedName>
    <definedName name="_72.测试结果截图" localSheetId="4">#REF!</definedName>
    <definedName name="_72.测试结果截图" localSheetId="5">#REF!</definedName>
    <definedName name="_72.测试结果截图">#REF!</definedName>
    <definedName name="_72.截图" localSheetId="4">#REF!</definedName>
    <definedName name="_72.截图" localSheetId="5">#REF!</definedName>
    <definedName name="_72.截图">#REF!</definedName>
    <definedName name="_73.测试结果截图" localSheetId="4">#REF!</definedName>
    <definedName name="_73.测试结果截图" localSheetId="5">#REF!</definedName>
    <definedName name="_73.测试结果截图">#REF!</definedName>
    <definedName name="_73.截图" localSheetId="4">#REF!</definedName>
    <definedName name="_73.截图" localSheetId="5">#REF!</definedName>
    <definedName name="_73.截图">#REF!</definedName>
    <definedName name="_74.测试结果截图" localSheetId="4">#REF!</definedName>
    <definedName name="_74.测试结果截图" localSheetId="5">#REF!</definedName>
    <definedName name="_74.测试结果截图">#REF!</definedName>
    <definedName name="_74.截图" localSheetId="4">#REF!</definedName>
    <definedName name="_74.截图" localSheetId="5">#REF!</definedName>
    <definedName name="_74.截图">#REF!</definedName>
    <definedName name="_75.测试结果截图" localSheetId="4">#REF!</definedName>
    <definedName name="_75.测试结果截图" localSheetId="5">#REF!</definedName>
    <definedName name="_75.测试结果截图">#REF!</definedName>
    <definedName name="_75.截图" localSheetId="4">#REF!</definedName>
    <definedName name="_75.截图" localSheetId="5">#REF!</definedName>
    <definedName name="_75.截图">#REF!</definedName>
    <definedName name="_76.测试结果截图" localSheetId="4">#REF!</definedName>
    <definedName name="_76.测试结果截图" localSheetId="5">#REF!</definedName>
    <definedName name="_76.测试结果截图">#REF!</definedName>
    <definedName name="_76.截图" localSheetId="4">#REF!</definedName>
    <definedName name="_76.截图" localSheetId="5">#REF!</definedName>
    <definedName name="_76.截图">#REF!</definedName>
    <definedName name="_77.测试结果截图" localSheetId="4">#REF!</definedName>
    <definedName name="_77.测试结果截图" localSheetId="5">#REF!</definedName>
    <definedName name="_77.测试结果截图">#REF!</definedName>
    <definedName name="_77.截图" localSheetId="4">#REF!</definedName>
    <definedName name="_77.截图" localSheetId="5">#REF!</definedName>
    <definedName name="_77.截图">#REF!</definedName>
    <definedName name="_78.测试结果截图" localSheetId="4">#REF!</definedName>
    <definedName name="_78.测试结果截图" localSheetId="5">#REF!</definedName>
    <definedName name="_78.测试结果截图">#REF!</definedName>
    <definedName name="_78.截图" localSheetId="4">#REF!</definedName>
    <definedName name="_78.截图" localSheetId="5">#REF!</definedName>
    <definedName name="_78.截图">#REF!</definedName>
    <definedName name="_79.测试结果截图" localSheetId="4">#REF!</definedName>
    <definedName name="_79.测试结果截图" localSheetId="5">#REF!</definedName>
    <definedName name="_79.测试结果截图">#REF!</definedName>
    <definedName name="_79.截图" localSheetId="4">#REF!</definedName>
    <definedName name="_79.截图" localSheetId="5">#REF!</definedName>
    <definedName name="_79.截图">#REF!</definedName>
    <definedName name="_8.测试结果截图" localSheetId="4">#REF!</definedName>
    <definedName name="_8.测试结果截图" localSheetId="5">#REF!</definedName>
    <definedName name="_8.测试结果截图">#REF!</definedName>
    <definedName name="_8.测试截图" localSheetId="4">#REF!</definedName>
    <definedName name="_8.测试截图" localSheetId="5">#REF!</definedName>
    <definedName name="_8.测试截图">#REF!</definedName>
    <definedName name="_8.截图" localSheetId="4">#REF!</definedName>
    <definedName name="_8.截图" localSheetId="5">#REF!</definedName>
    <definedName name="_8.截图">#REF!</definedName>
    <definedName name="_80.测试结果截图" localSheetId="4">#REF!</definedName>
    <definedName name="_80.测试结果截图" localSheetId="5">#REF!</definedName>
    <definedName name="_80.测试结果截图">#REF!</definedName>
    <definedName name="_80.截图" localSheetId="4">#REF!</definedName>
    <definedName name="_80.截图" localSheetId="5">#REF!</definedName>
    <definedName name="_80.截图">#REF!</definedName>
    <definedName name="_81.测试结果截图" localSheetId="4">#REF!</definedName>
    <definedName name="_81.测试结果截图" localSheetId="5">#REF!</definedName>
    <definedName name="_81.测试结果截图">#REF!</definedName>
    <definedName name="_81.截图" localSheetId="4">#REF!</definedName>
    <definedName name="_81.截图" localSheetId="5">#REF!</definedName>
    <definedName name="_81.截图">#REF!</definedName>
    <definedName name="_82.测试结果截图" localSheetId="4">#REF!</definedName>
    <definedName name="_82.测试结果截图" localSheetId="5">#REF!</definedName>
    <definedName name="_82.测试结果截图">#REF!</definedName>
    <definedName name="_82.截图" localSheetId="4">#REF!</definedName>
    <definedName name="_82.截图" localSheetId="5">#REF!</definedName>
    <definedName name="_82.截图">#REF!</definedName>
    <definedName name="_83.测试结果截图" localSheetId="4">#REF!</definedName>
    <definedName name="_83.测试结果截图" localSheetId="5">#REF!</definedName>
    <definedName name="_83.测试结果截图">#REF!</definedName>
    <definedName name="_83.截图" localSheetId="4">#REF!</definedName>
    <definedName name="_83.截图" localSheetId="5">#REF!</definedName>
    <definedName name="_83.截图">#REF!</definedName>
    <definedName name="_84.测试结果截图" localSheetId="4">#REF!</definedName>
    <definedName name="_84.测试结果截图" localSheetId="5">#REF!</definedName>
    <definedName name="_84.测试结果截图">#REF!</definedName>
    <definedName name="_84.截图" localSheetId="4">#REF!</definedName>
    <definedName name="_84.截图" localSheetId="5">#REF!</definedName>
    <definedName name="_84.截图">#REF!</definedName>
    <definedName name="_85.测试结果截图" localSheetId="4">#REF!</definedName>
    <definedName name="_85.测试结果截图" localSheetId="5">#REF!</definedName>
    <definedName name="_85.测试结果截图">#REF!</definedName>
    <definedName name="_85.截图" localSheetId="4">#REF!</definedName>
    <definedName name="_85.截图" localSheetId="5">#REF!</definedName>
    <definedName name="_85.截图">#REF!</definedName>
    <definedName name="_86.测试结果截图" localSheetId="4">#REF!</definedName>
    <definedName name="_86.测试结果截图" localSheetId="5">#REF!</definedName>
    <definedName name="_86.测试结果截图">#REF!</definedName>
    <definedName name="_86.截图" localSheetId="4">#REF!</definedName>
    <definedName name="_86.截图" localSheetId="5">#REF!</definedName>
    <definedName name="_86.截图">#REF!</definedName>
    <definedName name="_87.测试结果截图" localSheetId="4">#REF!</definedName>
    <definedName name="_87.测试结果截图" localSheetId="5">#REF!</definedName>
    <definedName name="_87.测试结果截图">#REF!</definedName>
    <definedName name="_87.截图" localSheetId="4">#REF!</definedName>
    <definedName name="_87.截图" localSheetId="5">#REF!</definedName>
    <definedName name="_87.截图">#REF!</definedName>
    <definedName name="_88.测试结果截图" localSheetId="4">#REF!</definedName>
    <definedName name="_88.测试结果截图" localSheetId="5">#REF!</definedName>
    <definedName name="_88.测试结果截图">#REF!</definedName>
    <definedName name="_88.截图" localSheetId="4">#REF!</definedName>
    <definedName name="_88.截图" localSheetId="5">#REF!</definedName>
    <definedName name="_88.截图">#REF!</definedName>
    <definedName name="_89.测试结果截图" localSheetId="4">#REF!</definedName>
    <definedName name="_89.测试结果截图" localSheetId="5">#REF!</definedName>
    <definedName name="_89.测试结果截图">#REF!</definedName>
    <definedName name="_89.截图" localSheetId="4">#REF!</definedName>
    <definedName name="_89.截图" localSheetId="5">#REF!</definedName>
    <definedName name="_89.截图">#REF!</definedName>
    <definedName name="_9.测试结果截图" localSheetId="4">#REF!</definedName>
    <definedName name="_9.测试结果截图" localSheetId="5">#REF!</definedName>
    <definedName name="_9.测试结果截图">#REF!</definedName>
    <definedName name="_9.测试截图" localSheetId="4">#REF!</definedName>
    <definedName name="_9.测试截图" localSheetId="5">#REF!</definedName>
    <definedName name="_9.测试截图">#REF!</definedName>
    <definedName name="_9.截图" localSheetId="4">#REF!</definedName>
    <definedName name="_9.截图" localSheetId="5">#REF!</definedName>
    <definedName name="_9.截图">#REF!</definedName>
    <definedName name="_90.测试结果截图" localSheetId="4">#REF!</definedName>
    <definedName name="_90.测试结果截图" localSheetId="5">#REF!</definedName>
    <definedName name="_90.测试结果截图">#REF!</definedName>
    <definedName name="_90.截图" localSheetId="4">#REF!</definedName>
    <definedName name="_90.截图" localSheetId="5">#REF!</definedName>
    <definedName name="_90.截图">#REF!</definedName>
    <definedName name="_91.测试结果截图" localSheetId="4">#REF!</definedName>
    <definedName name="_91.测试结果截图" localSheetId="5">#REF!</definedName>
    <definedName name="_91.测试结果截图">#REF!</definedName>
    <definedName name="_91.截图" localSheetId="4">#REF!</definedName>
    <definedName name="_91.截图" localSheetId="5">#REF!</definedName>
    <definedName name="_91.截图">#REF!</definedName>
    <definedName name="_92.测试结果截图" localSheetId="4">#REF!</definedName>
    <definedName name="_92.测试结果截图" localSheetId="5">#REF!</definedName>
    <definedName name="_92.测试结果截图">#REF!</definedName>
    <definedName name="_92.截图" localSheetId="4">#REF!</definedName>
    <definedName name="_92.截图" localSheetId="5">#REF!</definedName>
    <definedName name="_92.截图">#REF!</definedName>
    <definedName name="_93.测试结果截图" localSheetId="4">#REF!</definedName>
    <definedName name="_93.测试结果截图" localSheetId="5">#REF!</definedName>
    <definedName name="_93.测试结果截图">#REF!</definedName>
    <definedName name="_93.截图" localSheetId="4">#REF!</definedName>
    <definedName name="_93.截图" localSheetId="5">#REF!</definedName>
    <definedName name="_93.截图">#REF!</definedName>
    <definedName name="_94.测试结果截图" localSheetId="4">#REF!</definedName>
    <definedName name="_94.测试结果截图" localSheetId="5">#REF!</definedName>
    <definedName name="_94.测试结果截图">#REF!</definedName>
    <definedName name="_94.截图" localSheetId="4">#REF!</definedName>
    <definedName name="_94.截图" localSheetId="5">#REF!</definedName>
    <definedName name="_94.截图">#REF!</definedName>
    <definedName name="_95.测试结果截图" localSheetId="4">#REF!</definedName>
    <definedName name="_95.测试结果截图" localSheetId="5">#REF!</definedName>
    <definedName name="_95.测试结果截图">#REF!</definedName>
    <definedName name="_95.截图" localSheetId="4">#REF!</definedName>
    <definedName name="_95.截图" localSheetId="5">#REF!</definedName>
    <definedName name="_95.截图">#REF!</definedName>
    <definedName name="_96.测试结果截图" localSheetId="4">#REF!</definedName>
    <definedName name="_96.测试结果截图" localSheetId="5">#REF!</definedName>
    <definedName name="_96.测试结果截图">#REF!</definedName>
    <definedName name="_96.截图" localSheetId="4">#REF!</definedName>
    <definedName name="_96.截图" localSheetId="5">#REF!</definedName>
    <definedName name="_96.截图">#REF!</definedName>
    <definedName name="_97.测试结果截图" localSheetId="4">#REF!</definedName>
    <definedName name="_97.测试结果截图" localSheetId="5">#REF!</definedName>
    <definedName name="_97.测试结果截图">#REF!</definedName>
    <definedName name="_97.截图" localSheetId="4">#REF!</definedName>
    <definedName name="_97.截图" localSheetId="5">#REF!</definedName>
    <definedName name="_97.截图">#REF!</definedName>
    <definedName name="_98.测试结果截图" localSheetId="4">#REF!</definedName>
    <definedName name="_98.测试结果截图" localSheetId="5">#REF!</definedName>
    <definedName name="_98.测试结果截图">#REF!</definedName>
    <definedName name="_98.截图" localSheetId="4">#REF!</definedName>
    <definedName name="_98.截图" localSheetId="5">#REF!</definedName>
    <definedName name="_98.截图">#REF!</definedName>
    <definedName name="_99.测试结果截图" localSheetId="4">#REF!</definedName>
    <definedName name="_99.测试结果截图" localSheetId="5">#REF!</definedName>
    <definedName name="_99.测试结果截图">#REF!</definedName>
    <definedName name="_99.截图" localSheetId="4">#REF!</definedName>
    <definedName name="_99.截图" localSheetId="5">#REF!</definedName>
    <definedName name="_99.截图">#REF!</definedName>
    <definedName name="_A" localSheetId="7">#REF!</definedName>
    <definedName name="_A" localSheetId="6">#REF!</definedName>
    <definedName name="_A">#REF!</definedName>
    <definedName name="_A1.1.5测试截图" localSheetId="4">#REF!</definedName>
    <definedName name="_A1.1.5测试截图">#REF!</definedName>
    <definedName name="_A1.1.9测试截图" localSheetId="4">#REF!</definedName>
    <definedName name="_A1.1.9测试截图">#REF!</definedName>
    <definedName name="_as">#REF!</definedName>
    <definedName name="_B" localSheetId="7">#REF!</definedName>
    <definedName name="_B" localSheetId="6">#REF!</definedName>
    <definedName name="_B">#REF!</definedName>
    <definedName name="_C" localSheetId="7">#REF!</definedName>
    <definedName name="_C" localSheetId="6">#REF!</definedName>
    <definedName name="_C">#REF!</definedName>
    <definedName name="_Fill" localSheetId="7">#REF!</definedName>
    <definedName name="_Fill" localSheetId="6">#REF!</definedName>
    <definedName name="_Fill">#REF!</definedName>
    <definedName name="_xlnm._FilterDatabase" localSheetId="4" hidden="1">'3.测试分析报告'!#REF!</definedName>
    <definedName name="_xlnm._FilterDatabase" localSheetId="7" hidden="1">BSW测试结果!#REF!</definedName>
    <definedName name="_xlnm._FilterDatabase" localSheetId="5" hidden="1">'附1.测试Bug清单'!$B$2:$N$84</definedName>
    <definedName name="_xlnm._FilterDatabase" localSheetId="6" hidden="1">'附2.测试结果'!#REF!</definedName>
    <definedName name="_sda" localSheetId="4">#REF!</definedName>
    <definedName name="_sda" localSheetId="7">#REF!</definedName>
    <definedName name="_sda" localSheetId="0">#REF!</definedName>
    <definedName name="_sda" localSheetId="6">#REF!</definedName>
    <definedName name="_sda">#REF!</definedName>
    <definedName name="_yu1" localSheetId="7">#REF!</definedName>
    <definedName name="_yu1" localSheetId="6">#REF!</definedName>
    <definedName name="_yu1">#REF!</definedName>
    <definedName name="_yu10">#REF!</definedName>
    <definedName name="_yu12">#REF!</definedName>
    <definedName name="_yu3">#REF!</definedName>
    <definedName name="_yu4">#REF!</definedName>
    <definedName name="_yu5">#REF!</definedName>
    <definedName name="_yu6">#REF!</definedName>
    <definedName name="_yu8">#REF!</definedName>
    <definedName name="A" localSheetId="4">#REF!</definedName>
    <definedName name="A" localSheetId="7">#REF!</definedName>
    <definedName name="A" localSheetId="5">#REF!</definedName>
    <definedName name="A" localSheetId="6">#REF!</definedName>
    <definedName name="a">#REF!</definedName>
    <definedName name="A1.1.1" localSheetId="4">#REF!</definedName>
    <definedName name="A1.1.1" localSheetId="5">#REF!</definedName>
    <definedName name="A1.1.1">#REF!</definedName>
    <definedName name="A1.1.10" localSheetId="4">#REF!</definedName>
    <definedName name="A1.1.10">#REF!</definedName>
    <definedName name="A1.1.11" localSheetId="4">#REF!</definedName>
    <definedName name="A1.1.11">#REF!</definedName>
    <definedName name="A1.1.12" localSheetId="4">#REF!</definedName>
    <definedName name="A1.1.12">#REF!</definedName>
    <definedName name="A1.1.2" localSheetId="4">#REF!</definedName>
    <definedName name="A1.1.2">#REF!</definedName>
    <definedName name="A1.1.5" localSheetId="4">#REF!</definedName>
    <definedName name="A1.1.5">#REF!</definedName>
    <definedName name="A1.1.5_测试截图" localSheetId="5">[1]测试截图!#REF!</definedName>
    <definedName name="A1.1.5_测试截图">[1]测试截图!#REF!</definedName>
    <definedName name="A1.1.5测试截图" localSheetId="4">#REF!</definedName>
    <definedName name="A1.1.5测试截图" localSheetId="7">#REF!</definedName>
    <definedName name="A1.1.5测试截图" localSheetId="0">#REF!</definedName>
    <definedName name="A1.1.5测试截图" localSheetId="5">#REF!</definedName>
    <definedName name="A1.1.5测试截图" localSheetId="6">#REF!</definedName>
    <definedName name="A1.1.5测试截图">#REF!</definedName>
    <definedName name="A1.1.5测试截图0" localSheetId="4">[2]测试截图!#REF!</definedName>
    <definedName name="A1.1.5测试截图0" localSheetId="7">[3]测试截图!#REF!</definedName>
    <definedName name="A1.1.5测试截图0" localSheetId="5">[2]测试截图!#REF!</definedName>
    <definedName name="A1.1.5测试截图0" localSheetId="6">[3]测试截图!#REF!</definedName>
    <definedName name="A1.1.5测试截图0">[2]测试截图!#REF!</definedName>
    <definedName name="A1.1.6" localSheetId="4">#REF!</definedName>
    <definedName name="A1.1.6" localSheetId="7">#REF!</definedName>
    <definedName name="A1.1.6" localSheetId="0">#REF!</definedName>
    <definedName name="A1.1.6" localSheetId="6">#REF!</definedName>
    <definedName name="A1.1.6">#REF!</definedName>
    <definedName name="A1.1.6_测试截图" localSheetId="0">[1]测试截图!#REF!</definedName>
    <definedName name="A1.1.6_测试截图" localSheetId="5">[1]测试截图!#REF!</definedName>
    <definedName name="A1.1.6_测试截图">[1]测试截图!#REF!</definedName>
    <definedName name="A1.1.6测试截图" localSheetId="4">#REF!</definedName>
    <definedName name="A1.1.6测试截图" localSheetId="7">#REF!</definedName>
    <definedName name="A1.1.6测试截图" localSheetId="0">#REF!</definedName>
    <definedName name="A1.1.6测试截图" localSheetId="5">#REF!</definedName>
    <definedName name="A1.1.6测试截图" localSheetId="6">#REF!</definedName>
    <definedName name="A1.1.6测试截图">#REF!</definedName>
    <definedName name="A1.1.6测试截图0" localSheetId="4">[2]测试截图!#REF!</definedName>
    <definedName name="A1.1.6测试截图0" localSheetId="7">[3]测试截图!#REF!</definedName>
    <definedName name="A1.1.6测试截图0" localSheetId="5">[2]测试截图!#REF!</definedName>
    <definedName name="A1.1.6测试截图0" localSheetId="6">[3]测试截图!#REF!</definedName>
    <definedName name="A1.1.6测试截图0">[2]测试截图!#REF!</definedName>
    <definedName name="A1.1.9" localSheetId="4">#REF!</definedName>
    <definedName name="A1.1.9" localSheetId="7">#REF!</definedName>
    <definedName name="A1.1.9" localSheetId="0">#REF!</definedName>
    <definedName name="A1.1.9" localSheetId="6">#REF!</definedName>
    <definedName name="A1.1.9">#REF!</definedName>
    <definedName name="A1.2.1" localSheetId="4">'[4]A1.2 上电初始化测试'!#REF!</definedName>
    <definedName name="A1.2.1" localSheetId="0">'[4]A1.2 上电初始化测试'!#REF!</definedName>
    <definedName name="A1.2.1" localSheetId="5">'[4]A1.2 上电初始化测试'!#REF!</definedName>
    <definedName name="A1.2.1">'[4]A1.2 上电初始化测试'!#REF!</definedName>
    <definedName name="A1.3" localSheetId="4">#REF!</definedName>
    <definedName name="A1.3" localSheetId="7">#REF!</definedName>
    <definedName name="A1.3" localSheetId="0">#REF!</definedName>
    <definedName name="A1.3" localSheetId="5">#REF!</definedName>
    <definedName name="A1.3" localSheetId="6">#REF!</definedName>
    <definedName name="A1.3">#REF!</definedName>
    <definedName name="A1.3.1" localSheetId="5">'[4]A1.3 工作电流测试'!#REF!</definedName>
    <definedName name="A1.3.1">'[4]A1.3 工作电流测试'!#REF!</definedName>
    <definedName name="A1.3.11" localSheetId="4">'[5]A1.5 工作电流测试'!#REF!</definedName>
    <definedName name="A1.3.11" localSheetId="7">'[6]A1.5 工作电流测试'!#REF!</definedName>
    <definedName name="A1.3.11" localSheetId="6">'[6]A1.5 工作电流测试'!#REF!</definedName>
    <definedName name="A1.3.11">'[5]A1.5 工作电流测试'!#REF!</definedName>
    <definedName name="A1.3电源模式转换" localSheetId="4">#REF!</definedName>
    <definedName name="A1.3电源模式转换" localSheetId="7">#REF!</definedName>
    <definedName name="A1.3电源模式转换" localSheetId="0">#REF!</definedName>
    <definedName name="A1.3电源模式转换" localSheetId="6">#REF!</definedName>
    <definedName name="A1.3电源模式转换">#REF!</definedName>
    <definedName name="A1.4.1" localSheetId="4">'[5]A1.5 工作电流测试'!#REF!</definedName>
    <definedName name="A1.4.1" localSheetId="7">'[6]A1.5 工作电流测试'!#REF!</definedName>
    <definedName name="A1.4.1" localSheetId="0">'[5]A1.5 工作电流测试'!#REF!</definedName>
    <definedName name="A1.4.1" localSheetId="6">'[6]A1.5 工作电流测试'!#REF!</definedName>
    <definedName name="A1.4.1">'[5]A1.5 工作电流测试'!#REF!</definedName>
    <definedName name="A1.4.10_测试截图" localSheetId="5">[1]测试截图!#REF!</definedName>
    <definedName name="A1.4.10_测试截图">[1]测试截图!#REF!</definedName>
    <definedName name="A1.4.10测试截图" localSheetId="4">#REF!</definedName>
    <definedName name="A1.4.10测试截图" localSheetId="7">#REF!</definedName>
    <definedName name="A1.4.10测试截图" localSheetId="0">#REF!</definedName>
    <definedName name="A1.4.10测试截图" localSheetId="6">#REF!</definedName>
    <definedName name="A1.4.10测试截图">#REF!</definedName>
    <definedName name="A1.4.11_测试截图" localSheetId="0">[1]测试截图!#REF!</definedName>
    <definedName name="A1.4.11_测试截图" localSheetId="5">[1]测试截图!#REF!</definedName>
    <definedName name="A1.4.11_测试截图">[1]测试截图!#REF!</definedName>
    <definedName name="A1.4.11测试截图" localSheetId="4">#REF!</definedName>
    <definedName name="A1.4.11测试截图" localSheetId="7">#REF!</definedName>
    <definedName name="A1.4.11测试截图" localSheetId="0">#REF!</definedName>
    <definedName name="A1.4.11测试截图" localSheetId="6">#REF!</definedName>
    <definedName name="A1.4.11测试截图">#REF!</definedName>
    <definedName name="A1.4.12_测试截图" localSheetId="0">[1]测试截图!#REF!</definedName>
    <definedName name="A1.4.12_测试截图" localSheetId="5">[1]测试截图!#REF!</definedName>
    <definedName name="A1.4.12_测试截图">[1]测试截图!#REF!</definedName>
    <definedName name="A1.4.12测试截图" localSheetId="4">#REF!</definedName>
    <definedName name="A1.4.12测试截图" localSheetId="7">#REF!</definedName>
    <definedName name="A1.4.12测试截图" localSheetId="0">#REF!</definedName>
    <definedName name="A1.4.12测试截图" localSheetId="6">#REF!</definedName>
    <definedName name="A1.4.12测试截图">#REF!</definedName>
    <definedName name="A1.4.9_测试截图" localSheetId="0">[1]测试截图!#REF!</definedName>
    <definedName name="A1.4.9_测试截图" localSheetId="5">[1]测试截图!#REF!</definedName>
    <definedName name="A1.4.9_测试截图">[1]测试截图!#REF!</definedName>
    <definedName name="A1.4.9测试截图" localSheetId="4">#REF!</definedName>
    <definedName name="A1.4.9测试截图" localSheetId="7">#REF!</definedName>
    <definedName name="A1.4.9测试截图" localSheetId="0">#REF!</definedName>
    <definedName name="A1.4.9测试截图" localSheetId="6">#REF!</definedName>
    <definedName name="A1.4.9测试截图">#REF!</definedName>
    <definedName name="A1.5.1" localSheetId="4">#REF!</definedName>
    <definedName name="A1.5.1" localSheetId="7">#REF!</definedName>
    <definedName name="A1.5.1" localSheetId="0">#REF!</definedName>
    <definedName name="A1.5.1" localSheetId="5">#REF!</definedName>
    <definedName name="A1.5.1" localSheetId="6">#REF!</definedName>
    <definedName name="A1.5.1">#REF!</definedName>
    <definedName name="A1.5.22_测试截图" localSheetId="4">#REF!</definedName>
    <definedName name="A1.5.22_测试截图" localSheetId="7">#REF!</definedName>
    <definedName name="A1.5.22_测试截图" localSheetId="0">#REF!</definedName>
    <definedName name="A1.5.22_测试截图" localSheetId="6">#REF!</definedName>
    <definedName name="A1.5.22_测试截图">#REF!</definedName>
    <definedName name="A1.5.23_测试截图" localSheetId="4">#REF!</definedName>
    <definedName name="A1.5.23_测试截图">#REF!</definedName>
    <definedName name="A1.5.27_测试截图" localSheetId="4">#REF!</definedName>
    <definedName name="A1.5.27_测试截图">#REF!</definedName>
    <definedName name="A1.5.4" localSheetId="4">#REF!</definedName>
    <definedName name="A1.5.4" localSheetId="5">#REF!</definedName>
    <definedName name="A1.5.4">#REF!</definedName>
    <definedName name="A1.7.1" localSheetId="4">#REF!</definedName>
    <definedName name="A1.7.1" localSheetId="5">#REF!</definedName>
    <definedName name="A1.7.1">#REF!</definedName>
    <definedName name="A1.7.77" localSheetId="4">#REF!</definedName>
    <definedName name="A1.7.77">#REF!</definedName>
    <definedName name="A1.7.81" localSheetId="4">#REF!</definedName>
    <definedName name="A1.7.81">#REF!</definedName>
    <definedName name="A1.7.84" localSheetId="4">#REF!</definedName>
    <definedName name="A1.7.84">#REF!</definedName>
    <definedName name="A1.7.88" localSheetId="4">#REF!</definedName>
    <definedName name="A1.7.88">#REF!</definedName>
    <definedName name="A1.8" localSheetId="4">#REF!</definedName>
    <definedName name="A1.8" localSheetId="5">#REF!</definedName>
    <definedName name="A1.8">#REF!</definedName>
    <definedName name="A1.8.1" localSheetId="5">'[4]A1.6 高频干扰测试'!#REF!</definedName>
    <definedName name="A1.8.1">'[4]A1.6 高频干扰测试'!#REF!</definedName>
    <definedName name="aa" localSheetId="4">#REF!</definedName>
    <definedName name="aa" localSheetId="7">#REF!</definedName>
    <definedName name="aa" localSheetId="0">#REF!</definedName>
    <definedName name="aa" localSheetId="5">#REF!</definedName>
    <definedName name="aa" localSheetId="6">#REF!</definedName>
    <definedName name="aa">#REF!</definedName>
    <definedName name="aaa" localSheetId="7">#REF!</definedName>
    <definedName name="aaa" localSheetId="6">#REF!</definedName>
    <definedName name="aaa">#REF!</definedName>
    <definedName name="aaaa" localSheetId="4">#REF!</definedName>
    <definedName name="aaaa" localSheetId="7">#REF!</definedName>
    <definedName name="aaaa" localSheetId="0">#REF!</definedName>
    <definedName name="aaaa" localSheetId="5">#REF!</definedName>
    <definedName name="aaaa" localSheetId="6">#REF!</definedName>
    <definedName name="aaaa">#REF!</definedName>
    <definedName name="aaaaa" localSheetId="4">#REF!</definedName>
    <definedName name="aaaaa" localSheetId="0">#REF!</definedName>
    <definedName name="aaaaa" localSheetId="5">#REF!</definedName>
    <definedName name="aaaaa">#REF!</definedName>
    <definedName name="aas_a" localSheetId="4">#REF!</definedName>
    <definedName name="aas_a">#REF!</definedName>
    <definedName name="AB">#REF!</definedName>
    <definedName name="abc" localSheetId="4">#REF!</definedName>
    <definedName name="abc">#REF!</definedName>
    <definedName name="AH72_" localSheetId="4">#REF!</definedName>
    <definedName name="AH72_" localSheetId="5">#REF!</definedName>
    <definedName name="AH72_">#REF!</definedName>
    <definedName name="AH73_" localSheetId="4">#REF!</definedName>
    <definedName name="AH73_">#REF!</definedName>
    <definedName name="APP显示需求" localSheetId="7">#REF!</definedName>
    <definedName name="APP显示需求" localSheetId="6">#REF!</definedName>
    <definedName name="APP显示需求">#REF!</definedName>
    <definedName name="Area_23" localSheetId="7">#REF!</definedName>
    <definedName name="Area_23" localSheetId="6">#REF!</definedName>
    <definedName name="Area_23">#REF!</definedName>
    <definedName name="asda" localSheetId="4">#REF!</definedName>
    <definedName name="asda">#REF!</definedName>
    <definedName name="asdasd" localSheetId="4">#REF!</definedName>
    <definedName name="asdasd">#REF!</definedName>
    <definedName name="asdasddasd" localSheetId="4">#REF!</definedName>
    <definedName name="asdasddasd">#REF!</definedName>
    <definedName name="axzzX" localSheetId="4">#REF!</definedName>
    <definedName name="axzzX">#REF!</definedName>
    <definedName name="azxxa" localSheetId="4">#REF!</definedName>
    <definedName name="azxxa" localSheetId="5">#REF!</definedName>
    <definedName name="azxxa">#REF!</definedName>
    <definedName name="b" localSheetId="4">'[7]IBC_508（NEW）'!$F$1:$F$65536</definedName>
    <definedName name="b" localSheetId="7">#REF!</definedName>
    <definedName name="b" localSheetId="6">#REF!</definedName>
    <definedName name="b">'[7]IBC_508（NEW）'!$F$1:$F$65536</definedName>
    <definedName name="back测试汇总" localSheetId="7">#REF!</definedName>
    <definedName name="back测试汇总" localSheetId="6">#REF!</definedName>
    <definedName name="back测试汇总">#REF!</definedName>
    <definedName name="back导航_路测" localSheetId="7">#REF!</definedName>
    <definedName name="back导航_路测" localSheetId="6">#REF!</definedName>
    <definedName name="back导航_路测">#REF!</definedName>
    <definedName name="back低功耗测试" localSheetId="7">#REF!</definedName>
    <definedName name="back低功耗测试" localSheetId="6">#REF!</definedName>
    <definedName name="back低功耗测试">#REF!</definedName>
    <definedName name="back基本功能测试项" localSheetId="7">#REF!</definedName>
    <definedName name="back基本功能测试项" localSheetId="6">#REF!</definedName>
    <definedName name="back基本功能测试项">#REF!</definedName>
    <definedName name="back兼容性测试_SD卡" localSheetId="7">#REF!</definedName>
    <definedName name="back兼容性测试_SD卡" localSheetId="6">#REF!</definedName>
    <definedName name="back兼容性测试_SD卡">#REF!</definedName>
    <definedName name="back兼容性测试_副驾蓝牙耳机" localSheetId="7">#REF!</definedName>
    <definedName name="back兼容性测试_副驾蓝牙耳机" localSheetId="6">#REF!</definedName>
    <definedName name="back兼容性测试_副驾蓝牙耳机">#REF!</definedName>
    <definedName name="back兼容性测试_蓝牙手机" localSheetId="7">#REF!</definedName>
    <definedName name="back兼容性测试_蓝牙手机" localSheetId="6">#REF!</definedName>
    <definedName name="back兼容性测试_蓝牙手机">#REF!</definedName>
    <definedName name="back兼容性测试_音频配置" localSheetId="7">#REF!</definedName>
    <definedName name="back兼容性测试_音频配置" localSheetId="6">#REF!</definedName>
    <definedName name="back兼容性测试_音频配置">#REF!</definedName>
    <definedName name="back蓝牙测试_蓝牙交互" localSheetId="7">#REF!</definedName>
    <definedName name="back蓝牙测试_蓝牙交互" localSheetId="6">#REF!</definedName>
    <definedName name="back蓝牙测试_蓝牙交互">#REF!</definedName>
    <definedName name="back蓝牙测试_蓝牙压力测试" localSheetId="7">#REF!</definedName>
    <definedName name="back蓝牙测试_蓝牙压力测试" localSheetId="6">#REF!</definedName>
    <definedName name="back蓝牙测试_蓝牙压力测试">#REF!</definedName>
    <definedName name="back流量测试_爱奇艺" localSheetId="7">#REF!</definedName>
    <definedName name="back流量测试_爱奇艺" localSheetId="6">#REF!</definedName>
    <definedName name="back流量测试_爱奇艺">#REF!</definedName>
    <definedName name="back流量测试_导航" localSheetId="7">#REF!</definedName>
    <definedName name="back流量测试_导航" localSheetId="6">#REF!</definedName>
    <definedName name="back流量测试_导航">#REF!</definedName>
    <definedName name="back流量测试_酷狗" localSheetId="7">#REF!</definedName>
    <definedName name="back流量测试_酷狗" localSheetId="6">#REF!</definedName>
    <definedName name="back流量测试_酷狗">#REF!</definedName>
    <definedName name="back流量测试_雷石KTV" localSheetId="7">#REF!</definedName>
    <definedName name="back流量测试_雷石KTV" localSheetId="6">#REF!</definedName>
    <definedName name="back流量测试_雷石KTV">#REF!</definedName>
    <definedName name="back流量测试_网易云音乐" localSheetId="7">#REF!</definedName>
    <definedName name="back流量测试_网易云音乐" localSheetId="6">#REF!</definedName>
    <definedName name="back流量测试_网易云音乐">#REF!</definedName>
    <definedName name="back流量测试_应用中心" localSheetId="7">#REF!</definedName>
    <definedName name="back流量测试_应用中心" localSheetId="6">#REF!</definedName>
    <definedName name="back流量测试_应用中心">#REF!</definedName>
    <definedName name="back启动时间_AG35" localSheetId="7">#REF!</definedName>
    <definedName name="back启动时间_AG35" localSheetId="6">#REF!</definedName>
    <definedName name="back启动时间_AG35">#REF!</definedName>
    <definedName name="back启动时间_仪表" localSheetId="7">#REF!</definedName>
    <definedName name="back启动时间_仪表" localSheetId="6">#REF!</definedName>
    <definedName name="back启动时间_仪表">#REF!</definedName>
    <definedName name="back启动时间_中控" localSheetId="7">#REF!</definedName>
    <definedName name="back启动时间_中控" localSheetId="6">#REF!</definedName>
    <definedName name="back启动时间_中控">#REF!</definedName>
    <definedName name="back稳定性测试_monkey测试" localSheetId="7">#REF!</definedName>
    <definedName name="back稳定性测试_monkey测试" localSheetId="6">#REF!</definedName>
    <definedName name="back稳定性测试_monkey测试">#REF!</definedName>
    <definedName name="back稳定性测试_SD卡热插拔" localSheetId="7">#REF!</definedName>
    <definedName name="back稳定性测试_SD卡热插拔" localSheetId="6">#REF!</definedName>
    <definedName name="back稳定性测试_SD卡热插拔">#REF!</definedName>
    <definedName name="back稳定性测试_SD卡压力测试" localSheetId="7">#REF!</definedName>
    <definedName name="back稳定性测试_SD卡压力测试" localSheetId="6">#REF!</definedName>
    <definedName name="back稳定性测试_SD卡压力测试">#REF!</definedName>
    <definedName name="back稳定性测试_SOMEIP崩溃检查" localSheetId="7">#REF!</definedName>
    <definedName name="back稳定性测试_SOMEIP崩溃检查" localSheetId="6">#REF!</definedName>
    <definedName name="back稳定性测试_SOMEIP崩溃检查">#REF!</definedName>
    <definedName name="back稳定性测试_U盘热插拔" localSheetId="7">#REF!</definedName>
    <definedName name="back稳定性测试_U盘热插拔" localSheetId="6">#REF!</definedName>
    <definedName name="back稳定性测试_U盘热插拔">#REF!</definedName>
    <definedName name="back稳定性测试_U盘音乐挂载" localSheetId="7">#REF!</definedName>
    <definedName name="back稳定性测试_U盘音乐挂载" localSheetId="6">#REF!</definedName>
    <definedName name="back稳定性测试_U盘音乐挂载">#REF!</definedName>
    <definedName name="back稳定性测试_倒挡关联倒车影像" localSheetId="7">#REF!</definedName>
    <definedName name="back稳定性测试_倒挡关联倒车影像" localSheetId="6">#REF!</definedName>
    <definedName name="back稳定性测试_倒挡关联倒车影像">#REF!</definedName>
    <definedName name="back稳定性测试_恢复出厂设置" localSheetId="7">#REF!</definedName>
    <definedName name="back稳定性测试_恢复出厂设置" localSheetId="6">#REF!</definedName>
    <definedName name="back稳定性测试_恢复出厂设置">#REF!</definedName>
    <definedName name="back稳定性测试_上下电_人脸识别" localSheetId="7">#REF!</definedName>
    <definedName name="back稳定性测试_上下电_人脸识别" localSheetId="6">#REF!</definedName>
    <definedName name="back稳定性测试_上下电_人脸识别">#REF!</definedName>
    <definedName name="back稳定性测试_上下电_音频" localSheetId="7">#REF!</definedName>
    <definedName name="back稳定性测试_上下电_音频" localSheetId="6">#REF!</definedName>
    <definedName name="back稳定性测试_上下电_音频">#REF!</definedName>
    <definedName name="back稳定性测试_上下电_座舱" localSheetId="7">#REF!</definedName>
    <definedName name="back稳定性测试_上下电_座舱" localSheetId="6">#REF!</definedName>
    <definedName name="back稳定性测试_上下电_座舱">#REF!</definedName>
    <definedName name="back稳定性测试_升级" localSheetId="7">#REF!</definedName>
    <definedName name="back稳定性测试_升级" localSheetId="6">#REF!</definedName>
    <definedName name="back稳定性测试_升级">#REF!</definedName>
    <definedName name="back稳定性测试_音频播放切换" localSheetId="7">#REF!</definedName>
    <definedName name="back稳定性测试_音频播放切换" localSheetId="6">#REF!</definedName>
    <definedName name="back稳定性测试_音频播放切换">#REF!</definedName>
    <definedName name="back稳定性测试_音频长时间输出" localSheetId="7">#REF!</definedName>
    <definedName name="back稳定性测试_音频长时间输出" localSheetId="6">#REF!</definedName>
    <definedName name="back稳定性测试_音频长时间输出">#REF!</definedName>
    <definedName name="back稳定性测试_长时间报文回放" localSheetId="7">#REF!</definedName>
    <definedName name="back稳定性测试_长时间报文回放" localSheetId="6">#REF!</definedName>
    <definedName name="back稳定性测试_长时间报文回放">#REF!</definedName>
    <definedName name="back稳定性测试音效切换" localSheetId="7">#REF!</definedName>
    <definedName name="back稳定性测试音效切换" localSheetId="6">#REF!</definedName>
    <definedName name="back稳定性测试音效切换">#REF!</definedName>
    <definedName name="back性能测测试爱奇艺" localSheetId="7">#REF!</definedName>
    <definedName name="back性能测测试爱奇艺" localSheetId="6">#REF!</definedName>
    <definedName name="back性能测测试爱奇艺">#REF!</definedName>
    <definedName name="back性能测试_导航" localSheetId="7">#REF!</definedName>
    <definedName name="back性能测试_导航" localSheetId="6">#REF!</definedName>
    <definedName name="back性能测试_导航">#REF!</definedName>
    <definedName name="back性能测试_酷狗" localSheetId="7">#REF!</definedName>
    <definedName name="back性能测试_酷狗" localSheetId="6">#REF!</definedName>
    <definedName name="back性能测试_酷狗">#REF!</definedName>
    <definedName name="back性能测试_雷石KTV" localSheetId="7">#REF!</definedName>
    <definedName name="back性能测试_雷石KTV" localSheetId="6">#REF!</definedName>
    <definedName name="back性能测试_雷石KTV">#REF!</definedName>
    <definedName name="back性能测试_网易云音乐" localSheetId="7">#REF!</definedName>
    <definedName name="back性能测试_网易云音乐" localSheetId="6">#REF!</definedName>
    <definedName name="back性能测试_网易云音乐">#REF!</definedName>
    <definedName name="back性能测试_应用中心" localSheetId="7">#REF!</definedName>
    <definedName name="back性能测试_应用中心" localSheetId="6">#REF!</definedName>
    <definedName name="back性能测试_应用中心">#REF!</definedName>
    <definedName name="back虚拟机_稳定性测试" localSheetId="7">#REF!</definedName>
    <definedName name="back虚拟机_稳定性测试" localSheetId="6">#REF!</definedName>
    <definedName name="back虚拟机_稳定性测试">#REF!</definedName>
    <definedName name="back虚拟机_性能测试" localSheetId="7">#REF!</definedName>
    <definedName name="back虚拟机_性能测试" localSheetId="6">#REF!</definedName>
    <definedName name="back虚拟机_性能测试">#REF!</definedName>
    <definedName name="back语音" localSheetId="7">#REF!</definedName>
    <definedName name="back语音" localSheetId="6">#REF!</definedName>
    <definedName name="back语音">#REF!</definedName>
    <definedName name="BBB" localSheetId="4">'[7]IBC_508（NEW）'!$F$1:$F$65536</definedName>
    <definedName name="BBB">'[7]IBC_508（NEW）'!$F$1:$F$65536</definedName>
    <definedName name="bbbb" localSheetId="4">#REF!</definedName>
    <definedName name="bbbb" localSheetId="7">#REF!</definedName>
    <definedName name="bbbb" localSheetId="0">#REF!</definedName>
    <definedName name="bbbb" localSheetId="6">#REF!</definedName>
    <definedName name="bbbb">#REF!</definedName>
    <definedName name="Bordnetzspannung">14.5</definedName>
    <definedName name="caa" localSheetId="4">#REF!</definedName>
    <definedName name="caa" localSheetId="0">#REF!</definedName>
    <definedName name="caa" localSheetId="5">#REF!</definedName>
    <definedName name="caa">#REF!</definedName>
    <definedName name="CategoriesTable" localSheetId="7">#REF!</definedName>
    <definedName name="CategoriesTable" localSheetId="6">#REF!</definedName>
    <definedName name="CategoriesTable">#REF!</definedName>
    <definedName name="cc" localSheetId="4">#REF!</definedName>
    <definedName name="cc" localSheetId="0">#REF!</definedName>
    <definedName name="cc" localSheetId="5">#REF!</definedName>
    <definedName name="cc">#REF!</definedName>
    <definedName name="CompileRate" localSheetId="7">#REF!</definedName>
    <definedName name="CompileRate" localSheetId="6">#REF!</definedName>
    <definedName name="CompileRate">#REF!</definedName>
    <definedName name="CompileRate_proj" localSheetId="7">#REF!</definedName>
    <definedName name="CompileRate_proj" localSheetId="6">#REF!</definedName>
    <definedName name="CompileRate_proj">#REF!</definedName>
    <definedName name="CompileYield" localSheetId="7">#REF!</definedName>
    <definedName name="CompileYield" localSheetId="6">#REF!</definedName>
    <definedName name="CompileYield">#REF!</definedName>
    <definedName name="CR">"Text Box 67"</definedName>
    <definedName name="CR_Analysis">"Text Box 6"</definedName>
    <definedName name="CTC" localSheetId="4">#REF!</definedName>
    <definedName name="CTC" localSheetId="7">#REF!</definedName>
    <definedName name="CTC" localSheetId="5">#REF!</definedName>
    <definedName name="CTC" localSheetId="6">#REF!</definedName>
    <definedName name="CTC">#REF!</definedName>
    <definedName name="CWC机种" localSheetId="7">[8]机种系列!$E$5:$E$13</definedName>
    <definedName name="CWC机种" localSheetId="6">[8]机种系列!$E$5:$E$13</definedName>
    <definedName name="CWC机种">[9]机种系列!$E$5:$E$13</definedName>
    <definedName name="d" localSheetId="4">#REF!</definedName>
    <definedName name="d" localSheetId="7">#REF!</definedName>
    <definedName name="d" localSheetId="5">#REF!</definedName>
    <definedName name="d" localSheetId="6">#REF!</definedName>
    <definedName name="d">#REF!</definedName>
    <definedName name="D1.2贴图" localSheetId="4">#REF!</definedName>
    <definedName name="D1.2贴图" localSheetId="7">#REF!</definedName>
    <definedName name="D1.2贴图" localSheetId="5">#REF!</definedName>
    <definedName name="D1.2贴图" localSheetId="6">#REF!</definedName>
    <definedName name="D1.2贴图">#REF!</definedName>
    <definedName name="dasdas" localSheetId="4">#REF!</definedName>
    <definedName name="dasdas" localSheetId="7">#REF!</definedName>
    <definedName name="dasdas" localSheetId="6">#REF!</definedName>
    <definedName name="dasdas">#REF!</definedName>
    <definedName name="data" localSheetId="7">#REF!</definedName>
    <definedName name="data" localSheetId="6">#REF!</definedName>
    <definedName name="data">#REF!</definedName>
    <definedName name="datanew" localSheetId="7">#REF!</definedName>
    <definedName name="datanew" localSheetId="6">#REF!</definedName>
    <definedName name="datanew">#REF!</definedName>
    <definedName name="dbddghdb" localSheetId="4">#REF!</definedName>
    <definedName name="dbddghdb" localSheetId="5">#REF!</definedName>
    <definedName name="dbddghdb">#REF!</definedName>
    <definedName name="DD" localSheetId="4">#REF!</definedName>
    <definedName name="DD" localSheetId="5">#REF!</definedName>
    <definedName name="DD">#REF!</definedName>
    <definedName name="Def_per_KLOC" localSheetId="7">#REF!</definedName>
    <definedName name="Def_per_KLOC" localSheetId="6">#REF!</definedName>
    <definedName name="Def_per_KLOC">#REF!</definedName>
    <definedName name="Deployment">#REF!</definedName>
    <definedName name="dsds" localSheetId="4">#REF!</definedName>
    <definedName name="dsds" localSheetId="5">#REF!</definedName>
    <definedName name="dsds">#REF!</definedName>
    <definedName name="dsdsd" localSheetId="4">#REF!</definedName>
    <definedName name="dsdsd" localSheetId="5">#REF!</definedName>
    <definedName name="dsdsd">#REF!</definedName>
    <definedName name="dsfsdf" localSheetId="7">#REF!</definedName>
    <definedName name="dsfsdf" localSheetId="6">#REF!</definedName>
    <definedName name="dsfsdf">#REF!</definedName>
    <definedName name="DV_YZC72_1" localSheetId="4">#REF!</definedName>
    <definedName name="DV_YZC72_1" localSheetId="5">#REF!</definedName>
    <definedName name="DV_YZC72_1">#REF!</definedName>
    <definedName name="E" localSheetId="7">[10]記入例!$J$9</definedName>
    <definedName name="E" localSheetId="6">[10]記入例!$J$9</definedName>
    <definedName name="E">[11]記入例!$J$9</definedName>
    <definedName name="e45t345" localSheetId="4">#REF!</definedName>
    <definedName name="e45t345" localSheetId="7">#REF!</definedName>
    <definedName name="e45t345" localSheetId="5">#REF!</definedName>
    <definedName name="e45t345" localSheetId="6">#REF!</definedName>
    <definedName name="e45t345">#REF!</definedName>
    <definedName name="EstDefects" localSheetId="7">#REF!</definedName>
    <definedName name="EstDefects" localSheetId="6">#REF!</definedName>
    <definedName name="EstDefects">#REF!</definedName>
    <definedName name="EstSize" localSheetId="7">#REF!</definedName>
    <definedName name="EstSize" localSheetId="6">#REF!</definedName>
    <definedName name="EstSize">#REF!</definedName>
    <definedName name="Excel_2" localSheetId="7">#REF!</definedName>
    <definedName name="Excel_2" localSheetId="6">#REF!</definedName>
    <definedName name="Excel_2">#REF!</definedName>
    <definedName name="Excel_BuiltIn__FilterDatabase" localSheetId="7">[12]Cover!#REF!</definedName>
    <definedName name="Excel_BuiltIn__FilterDatabase" localSheetId="6">[12]Cover!#REF!</definedName>
    <definedName name="Excel_BuiltIn__FilterDatabase">[12]Cover!#REF!</definedName>
    <definedName name="Excel_BuiltIn__FilterDatabase_1" localSheetId="7">#REF!</definedName>
    <definedName name="Excel_BuiltIn__FilterDatabase_1" localSheetId="6">#REF!</definedName>
    <definedName name="Excel_BuiltIn__FilterDatabase_1">#REF!</definedName>
    <definedName name="Excel_BuiltIn_Print_Area" localSheetId="7">#REF!</definedName>
    <definedName name="Excel_BuiltIn_Print_Area" localSheetId="6">#REF!</definedName>
    <definedName name="Excel_BuiltIn_Print_Area">#REF!</definedName>
    <definedName name="Excel_BuiltIn_Print_Titles" localSheetId="7">(#REF!,#REF!)</definedName>
    <definedName name="Excel_BuiltIn_Print_Titles" localSheetId="6">(#REF!,#REF!)</definedName>
    <definedName name="Excel_BuiltIn_Print_Titles">(#REF!,#REF!)</definedName>
    <definedName name="fdgbd" localSheetId="4">#REF!</definedName>
    <definedName name="fdgbd" localSheetId="7">#REF!</definedName>
    <definedName name="fdgbd" localSheetId="5">#REF!</definedName>
    <definedName name="fdgbd" localSheetId="6">#REF!</definedName>
    <definedName name="fdgbd">#REF!</definedName>
    <definedName name="ff" localSheetId="4">#REF!</definedName>
    <definedName name="ff" localSheetId="7">#REF!</definedName>
    <definedName name="ff" localSheetId="5">#REF!</definedName>
    <definedName name="ff" localSheetId="6">#REF!</definedName>
    <definedName name="ff">#REF!</definedName>
    <definedName name="fgf" localSheetId="4">#REF!</definedName>
    <definedName name="fgf" localSheetId="7">#REF!</definedName>
    <definedName name="fgf" localSheetId="5">#REF!</definedName>
    <definedName name="fgf" localSheetId="6">#REF!</definedName>
    <definedName name="fgf">#REF!</definedName>
    <definedName name="FunctionsTable" localSheetId="7">#REF!</definedName>
    <definedName name="FunctionsTable" localSheetId="6">#REF!</definedName>
    <definedName name="FunctionsTable">#REF!</definedName>
    <definedName name="gnss" localSheetId="4">#REF!</definedName>
    <definedName name="gnss" localSheetId="5">#REF!</definedName>
    <definedName name="gnss">#REF!</definedName>
    <definedName name="goto测试汇总" localSheetId="7">#REF!</definedName>
    <definedName name="goto测试汇总" localSheetId="6">#REF!</definedName>
    <definedName name="goto测试汇总">#REF!</definedName>
    <definedName name="goto导航测试路测" localSheetId="7">#REF!</definedName>
    <definedName name="goto导航测试路测" localSheetId="6">#REF!</definedName>
    <definedName name="goto导航测试路测">#REF!</definedName>
    <definedName name="goto低功耗测试" localSheetId="7">#REF!</definedName>
    <definedName name="goto低功耗测试" localSheetId="6">#REF!</definedName>
    <definedName name="goto低功耗测试">#REF!</definedName>
    <definedName name="goto基本功能测试项" localSheetId="7">#REF!</definedName>
    <definedName name="goto基本功能测试项" localSheetId="6">#REF!</definedName>
    <definedName name="goto基本功能测试项">#REF!</definedName>
    <definedName name="goto兼容性测试SD卡兼容性测试" localSheetId="7">#REF!</definedName>
    <definedName name="goto兼容性测试SD卡兼容性测试" localSheetId="6">#REF!</definedName>
    <definedName name="goto兼容性测试SD卡兼容性测试">#REF!</definedName>
    <definedName name="goto兼容性测试副驾蓝牙耳机兼容性测试" localSheetId="7">#REF!</definedName>
    <definedName name="goto兼容性测试副驾蓝牙耳机兼容性测试" localSheetId="6">#REF!</definedName>
    <definedName name="goto兼容性测试副驾蓝牙耳机兼容性测试">#REF!</definedName>
    <definedName name="goto兼容性测试蓝牙手机兼容性测试" localSheetId="7">#REF!</definedName>
    <definedName name="goto兼容性测试蓝牙手机兼容性测试" localSheetId="6">#REF!</definedName>
    <definedName name="goto兼容性测试蓝牙手机兼容性测试">#REF!</definedName>
    <definedName name="goto兼容性测试音频配置兼容性测试" localSheetId="7">#REF!</definedName>
    <definedName name="goto兼容性测试音频配置兼容性测试" localSheetId="6">#REF!</definedName>
    <definedName name="goto兼容性测试音频配置兼容性测试">#REF!</definedName>
    <definedName name="goto蓝牙测试蓝牙交互测试" localSheetId="7">#REF!</definedName>
    <definedName name="goto蓝牙测试蓝牙交互测试" localSheetId="6">#REF!</definedName>
    <definedName name="goto蓝牙测试蓝牙交互测试">#REF!</definedName>
    <definedName name="goto蓝牙测试蓝牙压力测试" localSheetId="7">#REF!</definedName>
    <definedName name="goto蓝牙测试蓝牙压力测试" localSheetId="6">#REF!</definedName>
    <definedName name="goto蓝牙测试蓝牙压力测试">#REF!</definedName>
    <definedName name="goto流量测试爱奇艺" localSheetId="7">#REF!</definedName>
    <definedName name="goto流量测试爱奇艺" localSheetId="6">#REF!</definedName>
    <definedName name="goto流量测试爱奇艺">#REF!</definedName>
    <definedName name="goto流量测试导航" localSheetId="7">#REF!</definedName>
    <definedName name="goto流量测试导航" localSheetId="6">#REF!</definedName>
    <definedName name="goto流量测试导航">#REF!</definedName>
    <definedName name="goto流量测试酷狗" localSheetId="7">#REF!</definedName>
    <definedName name="goto流量测试酷狗" localSheetId="6">#REF!</definedName>
    <definedName name="goto流量测试酷狗">#REF!</definedName>
    <definedName name="goto流量测试雷石KTV" localSheetId="7">#REF!</definedName>
    <definedName name="goto流量测试雷石KTV" localSheetId="6">#REF!</definedName>
    <definedName name="goto流量测试雷石KTV">#REF!</definedName>
    <definedName name="goto流量测试网易云音乐" localSheetId="7">#REF!</definedName>
    <definedName name="goto流量测试网易云音乐" localSheetId="6">#REF!</definedName>
    <definedName name="goto流量测试网易云音乐">#REF!</definedName>
    <definedName name="goto流量测试应用中心" localSheetId="7">#REF!</definedName>
    <definedName name="goto流量测试应用中心" localSheetId="6">#REF!</definedName>
    <definedName name="goto流量测试应用中心">#REF!</definedName>
    <definedName name="goto启动时间ag35" localSheetId="7">#REF!</definedName>
    <definedName name="goto启动时间ag35" localSheetId="6">#REF!</definedName>
    <definedName name="goto启动时间ag35">#REF!</definedName>
    <definedName name="goto启动时间仪表" localSheetId="7">#REF!</definedName>
    <definedName name="goto启动时间仪表" localSheetId="6">#REF!</definedName>
    <definedName name="goto启动时间仪表">#REF!</definedName>
    <definedName name="goto启动时间中控" localSheetId="7">#REF!</definedName>
    <definedName name="goto启动时间中控" localSheetId="6">#REF!</definedName>
    <definedName name="goto启动时间中控">#REF!</definedName>
    <definedName name="goto稳定性测试monkey测试" localSheetId="7">#REF!</definedName>
    <definedName name="goto稳定性测试monkey测试" localSheetId="6">#REF!</definedName>
    <definedName name="goto稳定性测试monkey测试">#REF!</definedName>
    <definedName name="goto稳定性测试SD卡热插拔" localSheetId="7">#REF!</definedName>
    <definedName name="goto稳定性测试SD卡热插拔" localSheetId="6">#REF!</definedName>
    <definedName name="goto稳定性测试SD卡热插拔">#REF!</definedName>
    <definedName name="goto稳定性测试SD卡压力测试" localSheetId="7">#REF!</definedName>
    <definedName name="goto稳定性测试SD卡压力测试" localSheetId="6">#REF!</definedName>
    <definedName name="goto稳定性测试SD卡压力测试">#REF!</definedName>
    <definedName name="goto稳定性测试someip崩溃检查" localSheetId="7">#REF!</definedName>
    <definedName name="goto稳定性测试someip崩溃检查" localSheetId="6">#REF!</definedName>
    <definedName name="goto稳定性测试someip崩溃检查">#REF!</definedName>
    <definedName name="goto稳定性测试U盘热插拔" localSheetId="7">#REF!</definedName>
    <definedName name="goto稳定性测试U盘热插拔" localSheetId="6">#REF!</definedName>
    <definedName name="goto稳定性测试U盘热插拔">#REF!</definedName>
    <definedName name="goto稳定性测试U盘音乐挂载" localSheetId="7">#REF!</definedName>
    <definedName name="goto稳定性测试U盘音乐挂载" localSheetId="6">#REF!</definedName>
    <definedName name="goto稳定性测试U盘音乐挂载">#REF!</definedName>
    <definedName name="goto稳定性测试倒挡关联倒车影像" localSheetId="7">#REF!</definedName>
    <definedName name="goto稳定性测试倒挡关联倒车影像" localSheetId="6">#REF!</definedName>
    <definedName name="goto稳定性测试倒挡关联倒车影像">#REF!</definedName>
    <definedName name="goto稳定性测试恢复出厂设置" localSheetId="7">#REF!</definedName>
    <definedName name="goto稳定性测试恢复出厂设置" localSheetId="6">#REF!</definedName>
    <definedName name="goto稳定性测试恢复出厂设置">#REF!</definedName>
    <definedName name="goto稳定性测试上下电人脸识别" localSheetId="7">#REF!</definedName>
    <definedName name="goto稳定性测试上下电人脸识别" localSheetId="6">#REF!</definedName>
    <definedName name="goto稳定性测试上下电人脸识别">#REF!</definedName>
    <definedName name="goto稳定性测试上下电音频" localSheetId="7">#REF!</definedName>
    <definedName name="goto稳定性测试上下电音频" localSheetId="6">#REF!</definedName>
    <definedName name="goto稳定性测试上下电音频">#REF!</definedName>
    <definedName name="goto稳定性测试上下电座舱" localSheetId="7">#REF!</definedName>
    <definedName name="goto稳定性测试上下电座舱" localSheetId="6">#REF!</definedName>
    <definedName name="goto稳定性测试上下电座舱">#REF!</definedName>
    <definedName name="goto稳定性测试升级" localSheetId="7">#REF!</definedName>
    <definedName name="goto稳定性测试升级" localSheetId="6">#REF!</definedName>
    <definedName name="goto稳定性测试升级">#REF!</definedName>
    <definedName name="goto稳定性测试音频播放切换" localSheetId="7">#REF!</definedName>
    <definedName name="goto稳定性测试音频播放切换" localSheetId="6">#REF!</definedName>
    <definedName name="goto稳定性测试音频播放切换">#REF!</definedName>
    <definedName name="goto稳定性测试音频长时间输出" localSheetId="7">#REF!</definedName>
    <definedName name="goto稳定性测试音频长时间输出" localSheetId="6">#REF!</definedName>
    <definedName name="goto稳定性测试音频长时间输出">#REF!</definedName>
    <definedName name="goto稳定性测试音效切换" localSheetId="7">#REF!</definedName>
    <definedName name="goto稳定性测试音效切换" localSheetId="6">#REF!</definedName>
    <definedName name="goto稳定性测试音效切换">#REF!</definedName>
    <definedName name="goto稳定性测试长时间报文回放" localSheetId="7">#REF!</definedName>
    <definedName name="goto稳定性测试长时间报文回放" localSheetId="6">#REF!</definedName>
    <definedName name="goto稳定性测试长时间报文回放">#REF!</definedName>
    <definedName name="goto性能测试爱奇艺" localSheetId="7">#REF!</definedName>
    <definedName name="goto性能测试爱奇艺" localSheetId="6">#REF!</definedName>
    <definedName name="goto性能测试爱奇艺">#REF!</definedName>
    <definedName name="goto性能测试导航" localSheetId="7">#REF!</definedName>
    <definedName name="goto性能测试导航" localSheetId="6">#REF!</definedName>
    <definedName name="goto性能测试导航">#REF!</definedName>
    <definedName name="goto性能测试酷狗" localSheetId="7">#REF!</definedName>
    <definedName name="goto性能测试酷狗" localSheetId="6">#REF!</definedName>
    <definedName name="goto性能测试酷狗">#REF!</definedName>
    <definedName name="goto性能测试雷石KTV" localSheetId="7">#REF!</definedName>
    <definedName name="goto性能测试雷石KTV" localSheetId="6">#REF!</definedName>
    <definedName name="goto性能测试雷石KTV">#REF!</definedName>
    <definedName name="goto性能测试网易云音乐" localSheetId="7">#REF!</definedName>
    <definedName name="goto性能测试网易云音乐" localSheetId="6">#REF!</definedName>
    <definedName name="goto性能测试网易云音乐">#REF!</definedName>
    <definedName name="goto性能测试应用中心" localSheetId="7">#REF!</definedName>
    <definedName name="goto性能测试应用中心" localSheetId="6">#REF!</definedName>
    <definedName name="goto性能测试应用中心">#REF!</definedName>
    <definedName name="goto虚拟机稳定性测试" localSheetId="7">#REF!</definedName>
    <definedName name="goto虚拟机稳定性测试" localSheetId="6">#REF!</definedName>
    <definedName name="goto虚拟机稳定性测试">#REF!</definedName>
    <definedName name="goto虚拟机性能测试" localSheetId="7">#REF!</definedName>
    <definedName name="goto虚拟机性能测试" localSheetId="6">#REF!</definedName>
    <definedName name="goto虚拟机性能测试">#REF!</definedName>
    <definedName name="goto语音测试" localSheetId="7">#REF!</definedName>
    <definedName name="goto语音测试" localSheetId="6">#REF!</definedName>
    <definedName name="goto语音测试">#REF!</definedName>
    <definedName name="hardware">#REF!</definedName>
    <definedName name="hgfgj" localSheetId="4">#REF!</definedName>
    <definedName name="hgfgj" localSheetId="5">#REF!</definedName>
    <definedName name="hgfgj">#REF!</definedName>
    <definedName name="HUD机种" localSheetId="7">[8]机种系列!$E$19:$E$26</definedName>
    <definedName name="HUD机种" localSheetId="6">[8]机种系列!$E$19:$E$26</definedName>
    <definedName name="HUD机种">[9]机种系列!$E$19:$E$26</definedName>
    <definedName name="i.li" localSheetId="4">#REF!</definedName>
    <definedName name="i.li" localSheetId="7">#REF!</definedName>
    <definedName name="i.li" localSheetId="5">#REF!</definedName>
    <definedName name="i.li" localSheetId="6">#REF!</definedName>
    <definedName name="i.li">#REF!</definedName>
    <definedName name="IntegrationRate" localSheetId="7">#REF!</definedName>
    <definedName name="IntegrationRate" localSheetId="6">#REF!</definedName>
    <definedName name="IntegrationRate">#REF!</definedName>
    <definedName name="IntegrationRate_proj" localSheetId="7">#REF!</definedName>
    <definedName name="IntegrationRate_proj" localSheetId="6">#REF!</definedName>
    <definedName name="IntegrationRate_proj">#REF!</definedName>
    <definedName name="IntegrationYield" localSheetId="7">#REF!</definedName>
    <definedName name="IntegrationYield" localSheetId="6">#REF!</definedName>
    <definedName name="IntegrationYield">#REF!</definedName>
    <definedName name="ioi" localSheetId="4">#REF!</definedName>
    <definedName name="ioi" localSheetId="5">#REF!</definedName>
    <definedName name="ioi">#REF!</definedName>
    <definedName name="ioi0" localSheetId="4">#REF!</definedName>
    <definedName name="ioi0" localSheetId="5">#REF!</definedName>
    <definedName name="ioi0">#REF!</definedName>
    <definedName name="Line1b12" localSheetId="7">#REF!</definedName>
    <definedName name="Line1b12" localSheetId="6">#REF!</definedName>
    <definedName name="Line1b12">#REF!</definedName>
    <definedName name="Line1b15" localSheetId="7">#REF!</definedName>
    <definedName name="Line1b15" localSheetId="6">#REF!</definedName>
    <definedName name="Line1b15">#REF!</definedName>
    <definedName name="Line1b18" localSheetId="7">#REF!</definedName>
    <definedName name="Line1b18" localSheetId="6">#REF!</definedName>
    <definedName name="Line1b18">#REF!</definedName>
    <definedName name="Line1b24" localSheetId="7">#REF!</definedName>
    <definedName name="Line1b24" localSheetId="6">#REF!</definedName>
    <definedName name="Line1b24">#REF!</definedName>
    <definedName name="Line1c12" localSheetId="7">#REF!</definedName>
    <definedName name="Line1c12" localSheetId="6">#REF!</definedName>
    <definedName name="Line1c12">#REF!</definedName>
    <definedName name="Line1c15" localSheetId="7">#REF!</definedName>
    <definedName name="Line1c15" localSheetId="6">#REF!</definedName>
    <definedName name="Line1c15">#REF!</definedName>
    <definedName name="Line1c18" localSheetId="7">#REF!</definedName>
    <definedName name="Line1c18" localSheetId="6">#REF!</definedName>
    <definedName name="Line1c18">#REF!</definedName>
    <definedName name="Line1c24" localSheetId="7">#REF!</definedName>
    <definedName name="Line1c24" localSheetId="6">#REF!</definedName>
    <definedName name="Line1c24">#REF!</definedName>
    <definedName name="Line1d12" localSheetId="7">#REF!</definedName>
    <definedName name="Line1d12" localSheetId="6">#REF!</definedName>
    <definedName name="Line1d12">#REF!</definedName>
    <definedName name="Line1d15" localSheetId="7">#REF!</definedName>
    <definedName name="Line1d15" localSheetId="6">#REF!</definedName>
    <definedName name="Line1d15">#REF!</definedName>
    <definedName name="Line1d18" localSheetId="7">#REF!</definedName>
    <definedName name="Line1d18" localSheetId="6">#REF!</definedName>
    <definedName name="Line1d18">#REF!</definedName>
    <definedName name="Line1d24" localSheetId="7">#REF!</definedName>
    <definedName name="Line1d24" localSheetId="6">#REF!</definedName>
    <definedName name="Line1d24">#REF!</definedName>
    <definedName name="Line1e12" localSheetId="7">#REF!</definedName>
    <definedName name="Line1e12" localSheetId="6">#REF!</definedName>
    <definedName name="Line1e12">#REF!</definedName>
    <definedName name="Line1e15" localSheetId="7">#REF!</definedName>
    <definedName name="Line1e15" localSheetId="6">#REF!</definedName>
    <definedName name="Line1e15">#REF!</definedName>
    <definedName name="Line1e18" localSheetId="7">#REF!</definedName>
    <definedName name="Line1e18" localSheetId="6">#REF!</definedName>
    <definedName name="Line1e18">#REF!</definedName>
    <definedName name="Line1e24" localSheetId="7">#REF!</definedName>
    <definedName name="Line1e24" localSheetId="6">#REF!</definedName>
    <definedName name="Line1e24">#REF!</definedName>
    <definedName name="Line1f12" localSheetId="7">#REF!</definedName>
    <definedName name="Line1f12" localSheetId="6">#REF!</definedName>
    <definedName name="Line1f12">#REF!</definedName>
    <definedName name="Line1f15" localSheetId="7">#REF!</definedName>
    <definedName name="Line1f15" localSheetId="6">#REF!</definedName>
    <definedName name="Line1f15">#REF!</definedName>
    <definedName name="Line1f18" localSheetId="7">#REF!</definedName>
    <definedName name="Line1f18" localSheetId="6">#REF!</definedName>
    <definedName name="Line1f18">#REF!</definedName>
    <definedName name="Line1f24" localSheetId="7">#REF!</definedName>
    <definedName name="Line1f24" localSheetId="6">#REF!</definedName>
    <definedName name="Line1f24">#REF!</definedName>
    <definedName name="Line2a12" localSheetId="7">#REF!</definedName>
    <definedName name="Line2a12" localSheetId="6">#REF!</definedName>
    <definedName name="Line2a12">#REF!</definedName>
    <definedName name="Line2a15" localSheetId="7">#REF!</definedName>
    <definedName name="Line2a15" localSheetId="6">#REF!</definedName>
    <definedName name="Line2a15">#REF!</definedName>
    <definedName name="Line2a18" localSheetId="7">#REF!</definedName>
    <definedName name="Line2a18" localSheetId="6">#REF!</definedName>
    <definedName name="Line2a18">#REF!</definedName>
    <definedName name="Line2a24" localSheetId="7">#REF!</definedName>
    <definedName name="Line2a24" localSheetId="6">#REF!</definedName>
    <definedName name="Line2a24">#REF!</definedName>
    <definedName name="Line2b12" localSheetId="7">#REF!</definedName>
    <definedName name="Line2b12" localSheetId="6">#REF!</definedName>
    <definedName name="Line2b12">#REF!</definedName>
    <definedName name="Line2b15" localSheetId="7">#REF!</definedName>
    <definedName name="Line2b15" localSheetId="6">#REF!</definedName>
    <definedName name="Line2b15">#REF!</definedName>
    <definedName name="Line2b18" localSheetId="7">#REF!</definedName>
    <definedName name="Line2b18" localSheetId="6">#REF!</definedName>
    <definedName name="Line2b18">#REF!</definedName>
    <definedName name="Line2b24" localSheetId="7">#REF!</definedName>
    <definedName name="Line2b24" localSheetId="6">#REF!</definedName>
    <definedName name="Line2b24">#REF!</definedName>
    <definedName name="Line2c12" localSheetId="7">#REF!</definedName>
    <definedName name="Line2c12" localSheetId="6">#REF!</definedName>
    <definedName name="Line2c12">#REF!</definedName>
    <definedName name="Line2c15" localSheetId="7">#REF!</definedName>
    <definedName name="Line2c15" localSheetId="6">#REF!</definedName>
    <definedName name="Line2c15">#REF!</definedName>
    <definedName name="Line2c18" localSheetId="7">#REF!</definedName>
    <definedName name="Line2c18" localSheetId="6">#REF!</definedName>
    <definedName name="Line2c18">#REF!</definedName>
    <definedName name="Line2c24" localSheetId="7">#REF!</definedName>
    <definedName name="Line2c24" localSheetId="6">#REF!</definedName>
    <definedName name="Line2c24">#REF!</definedName>
    <definedName name="Line2d12" localSheetId="7">#REF!</definedName>
    <definedName name="Line2d12" localSheetId="6">#REF!</definedName>
    <definedName name="Line2d12">#REF!</definedName>
    <definedName name="Line2d15" localSheetId="7">#REF!</definedName>
    <definedName name="Line2d15" localSheetId="6">#REF!</definedName>
    <definedName name="Line2d15">#REF!</definedName>
    <definedName name="Line2d18" localSheetId="7">#REF!</definedName>
    <definedName name="Line2d18" localSheetId="6">#REF!</definedName>
    <definedName name="Line2d18">#REF!</definedName>
    <definedName name="Line2d24" localSheetId="7">#REF!</definedName>
    <definedName name="Line2d24" localSheetId="6">#REF!</definedName>
    <definedName name="Line2d24">#REF!</definedName>
    <definedName name="Line3a12" localSheetId="7">#REF!</definedName>
    <definedName name="Line3a12" localSheetId="6">#REF!</definedName>
    <definedName name="Line3a12">#REF!</definedName>
    <definedName name="Line3a15" localSheetId="7">#REF!</definedName>
    <definedName name="Line3a15" localSheetId="6">#REF!</definedName>
    <definedName name="Line3a15">#REF!</definedName>
    <definedName name="Line3a18" localSheetId="7">#REF!</definedName>
    <definedName name="Line3a18" localSheetId="6">#REF!</definedName>
    <definedName name="Line3a18">#REF!</definedName>
    <definedName name="Line3a24" localSheetId="7">#REF!</definedName>
    <definedName name="Line3a24" localSheetId="6">#REF!</definedName>
    <definedName name="Line3a24">#REF!</definedName>
    <definedName name="Line3b12" localSheetId="7">#REF!</definedName>
    <definedName name="Line3b12" localSheetId="6">#REF!</definedName>
    <definedName name="Line3b12">#REF!</definedName>
    <definedName name="Line3b15" localSheetId="7">#REF!</definedName>
    <definedName name="Line3b15" localSheetId="6">#REF!</definedName>
    <definedName name="Line3b15">#REF!</definedName>
    <definedName name="Line3b18" localSheetId="7">#REF!</definedName>
    <definedName name="Line3b18" localSheetId="6">#REF!</definedName>
    <definedName name="Line3b18">#REF!</definedName>
    <definedName name="Line3b24" localSheetId="7">#REF!</definedName>
    <definedName name="Line3b24" localSheetId="6">#REF!</definedName>
    <definedName name="Line3b24">#REF!</definedName>
    <definedName name="Line3c12" localSheetId="7">#REF!</definedName>
    <definedName name="Line3c12" localSheetId="6">#REF!</definedName>
    <definedName name="Line3c12">#REF!</definedName>
    <definedName name="Line3c15" localSheetId="7">#REF!</definedName>
    <definedName name="Line3c15" localSheetId="6">#REF!</definedName>
    <definedName name="Line3c15">#REF!</definedName>
    <definedName name="Line3c18" localSheetId="7">#REF!</definedName>
    <definedName name="Line3c18" localSheetId="6">#REF!</definedName>
    <definedName name="Line3c18">#REF!</definedName>
    <definedName name="Line3c24" localSheetId="7">#REF!</definedName>
    <definedName name="Line3c24" localSheetId="6">#REF!</definedName>
    <definedName name="Line3c24">#REF!</definedName>
    <definedName name="Line3d12" localSheetId="7">#REF!</definedName>
    <definedName name="Line3d12" localSheetId="6">#REF!</definedName>
    <definedName name="Line3d12">#REF!</definedName>
    <definedName name="Line3d15" localSheetId="7">#REF!</definedName>
    <definedName name="Line3d15" localSheetId="6">#REF!</definedName>
    <definedName name="Line3d15">#REF!</definedName>
    <definedName name="Line3d18" localSheetId="7">#REF!</definedName>
    <definedName name="Line3d18" localSheetId="6">#REF!</definedName>
    <definedName name="Line3d18">#REF!</definedName>
    <definedName name="Line3d24" localSheetId="7">#REF!</definedName>
    <definedName name="Line3d24" localSheetId="6">#REF!</definedName>
    <definedName name="Line3d24">#REF!</definedName>
    <definedName name="Line4a12" localSheetId="7">#REF!</definedName>
    <definedName name="Line4a12" localSheetId="6">#REF!</definedName>
    <definedName name="Line4a12">#REF!</definedName>
    <definedName name="Line4a15" localSheetId="7">#REF!</definedName>
    <definedName name="Line4a15" localSheetId="6">#REF!</definedName>
    <definedName name="Line4a15">#REF!</definedName>
    <definedName name="Line4a18" localSheetId="7">#REF!</definedName>
    <definedName name="Line4a18" localSheetId="6">#REF!</definedName>
    <definedName name="Line4a18">#REF!</definedName>
    <definedName name="Line4a24" localSheetId="7">#REF!</definedName>
    <definedName name="Line4a24" localSheetId="6">#REF!</definedName>
    <definedName name="Line4a24">#REF!</definedName>
    <definedName name="Line4b12" localSheetId="7">#REF!</definedName>
    <definedName name="Line4b12" localSheetId="6">#REF!</definedName>
    <definedName name="Line4b12">#REF!</definedName>
    <definedName name="Line4b15" localSheetId="7">#REF!</definedName>
    <definedName name="Line4b15" localSheetId="6">#REF!</definedName>
    <definedName name="Line4b15">#REF!</definedName>
    <definedName name="Line4b18" localSheetId="7">#REF!</definedName>
    <definedName name="Line4b18" localSheetId="6">#REF!</definedName>
    <definedName name="Line4b18">#REF!</definedName>
    <definedName name="Line4b24" localSheetId="7">#REF!</definedName>
    <definedName name="Line4b24" localSheetId="6">#REF!</definedName>
    <definedName name="Line4b24">#REF!</definedName>
    <definedName name="Line4c12" localSheetId="7">#REF!</definedName>
    <definedName name="Line4c12" localSheetId="6">#REF!</definedName>
    <definedName name="Line4c12">#REF!</definedName>
    <definedName name="Line4c15" localSheetId="7">#REF!</definedName>
    <definedName name="Line4c15" localSheetId="6">#REF!</definedName>
    <definedName name="Line4c15">#REF!</definedName>
    <definedName name="Line4c18" localSheetId="7">#REF!</definedName>
    <definedName name="Line4c18" localSheetId="6">#REF!</definedName>
    <definedName name="Line4c18">#REF!</definedName>
    <definedName name="Line4c24" localSheetId="7">#REF!</definedName>
    <definedName name="Line4c24" localSheetId="6">#REF!</definedName>
    <definedName name="Line4c24">#REF!</definedName>
    <definedName name="Line4d12" localSheetId="7">#REF!</definedName>
    <definedName name="Line4d12" localSheetId="6">#REF!</definedName>
    <definedName name="Line4d12">#REF!</definedName>
    <definedName name="Line4d15" localSheetId="7">#REF!</definedName>
    <definedName name="Line4d15" localSheetId="6">#REF!</definedName>
    <definedName name="Line4d15">#REF!</definedName>
    <definedName name="Line4d18" localSheetId="7">#REF!</definedName>
    <definedName name="Line4d18" localSheetId="6">#REF!</definedName>
    <definedName name="Line4d18">#REF!</definedName>
    <definedName name="Line4d24" localSheetId="7">#REF!</definedName>
    <definedName name="Line4d24" localSheetId="6">#REF!</definedName>
    <definedName name="Line4d24">#REF!</definedName>
    <definedName name="Line5a12" localSheetId="7">#REF!</definedName>
    <definedName name="Line5a12" localSheetId="6">#REF!</definedName>
    <definedName name="Line5a12">#REF!</definedName>
    <definedName name="Line5a15" localSheetId="7">#REF!</definedName>
    <definedName name="Line5a15" localSheetId="6">#REF!</definedName>
    <definedName name="Line5a15">#REF!</definedName>
    <definedName name="Line5a18" localSheetId="7">#REF!</definedName>
    <definedName name="Line5a18" localSheetId="6">#REF!</definedName>
    <definedName name="Line5a18">#REF!</definedName>
    <definedName name="Line5a24" localSheetId="7">#REF!</definedName>
    <definedName name="Line5a24" localSheetId="6">#REF!</definedName>
    <definedName name="Line5a24">#REF!</definedName>
    <definedName name="Line5b12" localSheetId="7">#REF!</definedName>
    <definedName name="Line5b12" localSheetId="6">#REF!</definedName>
    <definedName name="Line5b12">#REF!</definedName>
    <definedName name="Line5b15" localSheetId="7">#REF!</definedName>
    <definedName name="Line5b15" localSheetId="6">#REF!</definedName>
    <definedName name="Line5b15">#REF!</definedName>
    <definedName name="Line5b18" localSheetId="7">#REF!</definedName>
    <definedName name="Line5b18" localSheetId="6">#REF!</definedName>
    <definedName name="Line5b18">#REF!</definedName>
    <definedName name="Line5b24" localSheetId="7">#REF!</definedName>
    <definedName name="Line5b24" localSheetId="6">#REF!</definedName>
    <definedName name="Line5b24">#REF!</definedName>
    <definedName name="Line5c12" localSheetId="7">#REF!</definedName>
    <definedName name="Line5c12" localSheetId="6">#REF!</definedName>
    <definedName name="Line5c12">#REF!</definedName>
    <definedName name="Line5c15" localSheetId="7">#REF!</definedName>
    <definedName name="Line5c15" localSheetId="6">#REF!</definedName>
    <definedName name="Line5c15">#REF!</definedName>
    <definedName name="Line5c18" localSheetId="7">#REF!</definedName>
    <definedName name="Line5c18" localSheetId="6">#REF!</definedName>
    <definedName name="Line5c18">#REF!</definedName>
    <definedName name="Line5c24" localSheetId="7">#REF!</definedName>
    <definedName name="Line5c24" localSheetId="6">#REF!</definedName>
    <definedName name="Line5c24">#REF!</definedName>
    <definedName name="Line5d12" localSheetId="7">#REF!</definedName>
    <definedName name="Line5d12" localSheetId="6">#REF!</definedName>
    <definedName name="Line5d12">#REF!</definedName>
    <definedName name="Line5d15" localSheetId="7">#REF!</definedName>
    <definedName name="Line5d15" localSheetId="6">#REF!</definedName>
    <definedName name="Line5d15">#REF!</definedName>
    <definedName name="Line5d18" localSheetId="7">#REF!</definedName>
    <definedName name="Line5d18" localSheetId="6">#REF!</definedName>
    <definedName name="Line5d18">#REF!</definedName>
    <definedName name="Line5d24" localSheetId="7">#REF!</definedName>
    <definedName name="Line5d24" localSheetId="6">#REF!</definedName>
    <definedName name="Line5d24">#REF!</definedName>
    <definedName name="Line6a12" localSheetId="7">#REF!</definedName>
    <definedName name="Line6a12" localSheetId="6">#REF!</definedName>
    <definedName name="Line6a12">#REF!</definedName>
    <definedName name="Line6a15" localSheetId="7">#REF!</definedName>
    <definedName name="Line6a15" localSheetId="6">#REF!</definedName>
    <definedName name="Line6a15">#REF!</definedName>
    <definedName name="Line6a18" localSheetId="7">#REF!</definedName>
    <definedName name="Line6a18" localSheetId="6">#REF!</definedName>
    <definedName name="Line6a18">#REF!</definedName>
    <definedName name="Line6a24" localSheetId="7">#REF!</definedName>
    <definedName name="Line6a24" localSheetId="6">#REF!</definedName>
    <definedName name="Line6a24">#REF!</definedName>
    <definedName name="Line6b12" localSheetId="7">#REF!</definedName>
    <definedName name="Line6b12" localSheetId="6">#REF!</definedName>
    <definedName name="Line6b12">#REF!</definedName>
    <definedName name="Line6b15" localSheetId="7">#REF!</definedName>
    <definedName name="Line6b15" localSheetId="6">#REF!</definedName>
    <definedName name="Line6b15">#REF!</definedName>
    <definedName name="Line6b18" localSheetId="7">#REF!</definedName>
    <definedName name="Line6b18" localSheetId="6">#REF!</definedName>
    <definedName name="Line6b18">#REF!</definedName>
    <definedName name="Line6b24" localSheetId="7">#REF!</definedName>
    <definedName name="Line6b24" localSheetId="6">#REF!</definedName>
    <definedName name="Line6b24">#REF!</definedName>
    <definedName name="Line6c12" localSheetId="7">#REF!</definedName>
    <definedName name="Line6c12" localSheetId="6">#REF!</definedName>
    <definedName name="Line6c12">#REF!</definedName>
    <definedName name="Line6c15" localSheetId="7">#REF!</definedName>
    <definedName name="Line6c15" localSheetId="6">#REF!</definedName>
    <definedName name="Line6c15">#REF!</definedName>
    <definedName name="Line6c18" localSheetId="7">#REF!</definedName>
    <definedName name="Line6c18" localSheetId="6">#REF!</definedName>
    <definedName name="Line6c18">#REF!</definedName>
    <definedName name="Line6c24" localSheetId="7">#REF!</definedName>
    <definedName name="Line6c24" localSheetId="6">#REF!</definedName>
    <definedName name="Line6c24">#REF!</definedName>
    <definedName name="Line6d12" localSheetId="7">#REF!</definedName>
    <definedName name="Line6d12" localSheetId="6">#REF!</definedName>
    <definedName name="Line6d12">#REF!</definedName>
    <definedName name="Line6d15" localSheetId="7">#REF!</definedName>
    <definedName name="Line6d15" localSheetId="6">#REF!</definedName>
    <definedName name="Line6d15">#REF!</definedName>
    <definedName name="Line6d18" localSheetId="7">#REF!</definedName>
    <definedName name="Line6d18" localSheetId="6">#REF!</definedName>
    <definedName name="Line6d18">#REF!</definedName>
    <definedName name="Line6d24" localSheetId="7">#REF!</definedName>
    <definedName name="Line6d24" localSheetId="6">#REF!</definedName>
    <definedName name="Line6d24">#REF!</definedName>
    <definedName name="Line6e12" localSheetId="7">#REF!</definedName>
    <definedName name="Line6e12" localSheetId="6">#REF!</definedName>
    <definedName name="Line6e12">#REF!</definedName>
    <definedName name="Line6f12" localSheetId="7">#REF!</definedName>
    <definedName name="Line6f12" localSheetId="6">#REF!</definedName>
    <definedName name="Line6f12">#REF!</definedName>
    <definedName name="Line7a12" localSheetId="7">#REF!</definedName>
    <definedName name="Line7a12" localSheetId="6">#REF!</definedName>
    <definedName name="Line7a12">#REF!</definedName>
    <definedName name="Line7a15" localSheetId="7">#REF!</definedName>
    <definedName name="Line7a15" localSheetId="6">#REF!</definedName>
    <definedName name="Line7a15">#REF!</definedName>
    <definedName name="Line7a18" localSheetId="7">#REF!</definedName>
    <definedName name="Line7a18" localSheetId="6">#REF!</definedName>
    <definedName name="Line7a18">#REF!</definedName>
    <definedName name="Line7a24" localSheetId="7">#REF!</definedName>
    <definedName name="Line7a24" localSheetId="6">#REF!</definedName>
    <definedName name="Line7a24">#REF!</definedName>
    <definedName name="Line7b12" localSheetId="7">#REF!</definedName>
    <definedName name="Line7b12" localSheetId="6">#REF!</definedName>
    <definedName name="Line7b12">#REF!</definedName>
    <definedName name="Line7b15" localSheetId="7">#REF!</definedName>
    <definedName name="Line7b15" localSheetId="6">#REF!</definedName>
    <definedName name="Line7b15">#REF!</definedName>
    <definedName name="Line7b18" localSheetId="7">#REF!</definedName>
    <definedName name="Line7b18" localSheetId="6">#REF!</definedName>
    <definedName name="Line7b18">#REF!</definedName>
    <definedName name="Line7b24" localSheetId="7">#REF!</definedName>
    <definedName name="Line7b24" localSheetId="6">#REF!</definedName>
    <definedName name="Line7b24">#REF!</definedName>
    <definedName name="Line7c12" localSheetId="7">#REF!</definedName>
    <definedName name="Line7c12" localSheetId="6">#REF!</definedName>
    <definedName name="Line7c12">#REF!</definedName>
    <definedName name="Line7c15" localSheetId="7">#REF!</definedName>
    <definedName name="Line7c15" localSheetId="6">#REF!</definedName>
    <definedName name="Line7c15">#REF!</definedName>
    <definedName name="Line7c18" localSheetId="7">#REF!</definedName>
    <definedName name="Line7c18" localSheetId="6">#REF!</definedName>
    <definedName name="Line7c18">#REF!</definedName>
    <definedName name="Line7c24" localSheetId="7">#REF!</definedName>
    <definedName name="Line7c24" localSheetId="6">#REF!</definedName>
    <definedName name="Line7c24">#REF!</definedName>
    <definedName name="Line7d12" localSheetId="7">#REF!</definedName>
    <definedName name="Line7d12" localSheetId="6">#REF!</definedName>
    <definedName name="Line7d12">#REF!</definedName>
    <definedName name="Line7d15" localSheetId="7">#REF!</definedName>
    <definedName name="Line7d15" localSheetId="6">#REF!</definedName>
    <definedName name="Line7d15">#REF!</definedName>
    <definedName name="Line7d18" localSheetId="7">#REF!</definedName>
    <definedName name="Line7d18" localSheetId="6">#REF!</definedName>
    <definedName name="Line7d18">#REF!</definedName>
    <definedName name="Line7d24" localSheetId="7">#REF!</definedName>
    <definedName name="Line7d24" localSheetId="6">#REF!</definedName>
    <definedName name="Line7d24">#REF!</definedName>
    <definedName name="Line8a12" localSheetId="7">#REF!</definedName>
    <definedName name="Line8a12" localSheetId="6">#REF!</definedName>
    <definedName name="Line8a12">#REF!</definedName>
    <definedName name="Line8a15" localSheetId="7">#REF!</definedName>
    <definedName name="Line8a15" localSheetId="6">#REF!</definedName>
    <definedName name="Line8a15">#REF!</definedName>
    <definedName name="Line8a18" localSheetId="7">#REF!</definedName>
    <definedName name="Line8a18" localSheetId="6">#REF!</definedName>
    <definedName name="Line8a18">#REF!</definedName>
    <definedName name="Line8a24" localSheetId="7">#REF!</definedName>
    <definedName name="Line8a24" localSheetId="6">#REF!</definedName>
    <definedName name="Line8a24">#REF!</definedName>
    <definedName name="Line8b12" localSheetId="7">#REF!</definedName>
    <definedName name="Line8b12" localSheetId="6">#REF!</definedName>
    <definedName name="Line8b12">#REF!</definedName>
    <definedName name="Line8b15" localSheetId="7">#REF!</definedName>
    <definedName name="Line8b15" localSheetId="6">#REF!</definedName>
    <definedName name="Line8b15">#REF!</definedName>
    <definedName name="Line8b18" localSheetId="7">#REF!</definedName>
    <definedName name="Line8b18" localSheetId="6">#REF!</definedName>
    <definedName name="Line8b18">#REF!</definedName>
    <definedName name="Line8b24" localSheetId="7">#REF!</definedName>
    <definedName name="Line8b24" localSheetId="6">#REF!</definedName>
    <definedName name="Line8b24">#REF!</definedName>
    <definedName name="Line8c12" localSheetId="7">#REF!</definedName>
    <definedName name="Line8c12" localSheetId="6">#REF!</definedName>
    <definedName name="Line8c12">#REF!</definedName>
    <definedName name="Line8c15" localSheetId="7">#REF!</definedName>
    <definedName name="Line8c15" localSheetId="6">#REF!</definedName>
    <definedName name="Line8c15">#REF!</definedName>
    <definedName name="Line8c18" localSheetId="7">#REF!</definedName>
    <definedName name="Line8c18" localSheetId="6">#REF!</definedName>
    <definedName name="Line8c18">#REF!</definedName>
    <definedName name="Line8c24" localSheetId="7">#REF!</definedName>
    <definedName name="Line8c24" localSheetId="6">#REF!</definedName>
    <definedName name="Line8c24">#REF!</definedName>
    <definedName name="Line8d12" localSheetId="7">#REF!</definedName>
    <definedName name="Line8d12" localSheetId="6">#REF!</definedName>
    <definedName name="Line8d12">#REF!</definedName>
    <definedName name="Line8d15" localSheetId="7">#REF!</definedName>
    <definedName name="Line8d15" localSheetId="6">#REF!</definedName>
    <definedName name="Line8d15">#REF!</definedName>
    <definedName name="Line8d18" localSheetId="7">#REF!</definedName>
    <definedName name="Line8d18" localSheetId="6">#REF!</definedName>
    <definedName name="Line8d18">#REF!</definedName>
    <definedName name="Line8d24" localSheetId="7">#REF!</definedName>
    <definedName name="Line8d24" localSheetId="6">#REF!</definedName>
    <definedName name="Line8d24">#REF!</definedName>
    <definedName name="Line9a12" localSheetId="7">#REF!</definedName>
    <definedName name="Line9a12" localSheetId="6">#REF!</definedName>
    <definedName name="Line9a12">#REF!</definedName>
    <definedName name="Line9a15" localSheetId="7">#REF!</definedName>
    <definedName name="Line9a15" localSheetId="6">#REF!</definedName>
    <definedName name="Line9a15">#REF!</definedName>
    <definedName name="Line9a18" localSheetId="7">#REF!</definedName>
    <definedName name="Line9a18" localSheetId="6">#REF!</definedName>
    <definedName name="Line9a18">#REF!</definedName>
    <definedName name="Line9a24" localSheetId="7">#REF!</definedName>
    <definedName name="Line9a24" localSheetId="6">#REF!</definedName>
    <definedName name="Line9a24">#REF!</definedName>
    <definedName name="Line9b12" localSheetId="7">#REF!</definedName>
    <definedName name="Line9b12" localSheetId="6">#REF!</definedName>
    <definedName name="Line9b12">#REF!</definedName>
    <definedName name="Line9b15" localSheetId="7">#REF!</definedName>
    <definedName name="Line9b15" localSheetId="6">#REF!</definedName>
    <definedName name="Line9b15">#REF!</definedName>
    <definedName name="Line9b18" localSheetId="7">#REF!</definedName>
    <definedName name="Line9b18" localSheetId="6">#REF!</definedName>
    <definedName name="Line9b18">#REF!</definedName>
    <definedName name="Line9b24" localSheetId="7">#REF!</definedName>
    <definedName name="Line9b24" localSheetId="6">#REF!</definedName>
    <definedName name="Line9b24">#REF!</definedName>
    <definedName name="Line9c12" localSheetId="7">#REF!</definedName>
    <definedName name="Line9c12" localSheetId="6">#REF!</definedName>
    <definedName name="Line9c12">#REF!</definedName>
    <definedName name="Line9c15" localSheetId="7">#REF!</definedName>
    <definedName name="Line9c15" localSheetId="6">#REF!</definedName>
    <definedName name="Line9c15">#REF!</definedName>
    <definedName name="Line9c18" localSheetId="7">#REF!</definedName>
    <definedName name="Line9c18" localSheetId="6">#REF!</definedName>
    <definedName name="Line9c18">#REF!</definedName>
    <definedName name="Line9c24" localSheetId="7">#REF!</definedName>
    <definedName name="Line9c24" localSheetId="6">#REF!</definedName>
    <definedName name="Line9c24">#REF!</definedName>
    <definedName name="Line9d12" localSheetId="7">#REF!</definedName>
    <definedName name="Line9d12" localSheetId="6">#REF!</definedName>
    <definedName name="Line9d12">#REF!</definedName>
    <definedName name="Line9d15" localSheetId="7">#REF!</definedName>
    <definedName name="Line9d15" localSheetId="6">#REF!</definedName>
    <definedName name="Line9d15">#REF!</definedName>
    <definedName name="Line9d18" localSheetId="7">#REF!</definedName>
    <definedName name="Line9d18" localSheetId="6">#REF!</definedName>
    <definedName name="Line9d18">#REF!</definedName>
    <definedName name="Line9d24" localSheetId="7">#REF!</definedName>
    <definedName name="Line9d24" localSheetId="6">#REF!</definedName>
    <definedName name="Line9d24">#REF!</definedName>
    <definedName name="Liste__IH_SY" localSheetId="7">#REF!</definedName>
    <definedName name="Liste__IH_SY" localSheetId="6">#REF!</definedName>
    <definedName name="Liste__IH_SY">#REF!</definedName>
    <definedName name="lsdjafkl" localSheetId="7">#REF!</definedName>
    <definedName name="lsdjafkl" localSheetId="6">#REF!</definedName>
    <definedName name="lsdjafkl">#REF!</definedName>
    <definedName name="MEC" localSheetId="4">#REF!</definedName>
    <definedName name="MEC" localSheetId="5">#REF!</definedName>
    <definedName name="MEC">#REF!</definedName>
    <definedName name="N" localSheetId="7">[10]記入例!#REF!</definedName>
    <definedName name="N" localSheetId="6">[10]記入例!#REF!</definedName>
    <definedName name="Ｎ">[11]記入例!#REF!</definedName>
    <definedName name="new" localSheetId="4">#REF!</definedName>
    <definedName name="new" localSheetId="7">#REF!</definedName>
    <definedName name="new" localSheetId="6">#REF!</definedName>
    <definedName name="new">#REF!</definedName>
    <definedName name="NNN" localSheetId="4">'[7]IBC_508（NEW）'!$F$1:$F$65536</definedName>
    <definedName name="NNN">'[7]IBC_508（NEW）'!$F$1:$F$65536</definedName>
    <definedName name="Num_Periods" localSheetId="7">#REF!</definedName>
    <definedName name="Num_Periods" localSheetId="6">#REF!</definedName>
    <definedName name="Num_Periods">#REF!</definedName>
    <definedName name="OLE_LINK8" localSheetId="4">'3.测试分析报告'!$B$11</definedName>
    <definedName name="Option_Function_CombinationTable" localSheetId="7">#REF!</definedName>
    <definedName name="Option_Function_CombinationTable" localSheetId="6">#REF!</definedName>
    <definedName name="Option_Function_CombinationTable">#REF!</definedName>
    <definedName name="PeerRate" localSheetId="7">#REF!</definedName>
    <definedName name="PeerRate" localSheetId="6">#REF!</definedName>
    <definedName name="PeerRate">#REF!</definedName>
    <definedName name="PeerRate_proj" localSheetId="7">#REF!</definedName>
    <definedName name="PeerRate_proj" localSheetId="6">#REF!</definedName>
    <definedName name="PeerRate_proj">#REF!</definedName>
    <definedName name="PeerRevRate" localSheetId="7">#REF!</definedName>
    <definedName name="PeerRevRate" localSheetId="6">#REF!</definedName>
    <definedName name="PeerRevRate">#REF!</definedName>
    <definedName name="PeerRevRate_proj" localSheetId="7">#REF!</definedName>
    <definedName name="PeerRevRate_proj" localSheetId="6">#REF!</definedName>
    <definedName name="PeerRevRate_proj">#REF!</definedName>
    <definedName name="PeerYield" localSheetId="7">#REF!</definedName>
    <definedName name="PeerYield" localSheetId="6">#REF!</definedName>
    <definedName name="PeerYield">#REF!</definedName>
    <definedName name="_xlnm.Print_Area" localSheetId="2">'1.测试基本信息'!$A$1:$J$27</definedName>
    <definedName name="_xlnm.Print_Area" localSheetId="3">'2.测试汇总结果'!$A$1:$T$23</definedName>
    <definedName name="_xlnm.Print_Area" localSheetId="7">BSW测试结果!$A$1:$N$68</definedName>
    <definedName name="_xlnm.Print_Area" localSheetId="1">变更履历!$A$1:$H$10</definedName>
    <definedName name="_xlnm.Print_Area" localSheetId="5">'附1.测试Bug清单'!$A$1:$O$85</definedName>
    <definedName name="_xlnm.Print_Area" localSheetId="6">'附2.测试结果'!$A$1:$N$518</definedName>
    <definedName name="_xlnm.Print_Area" localSheetId="8">'附3.工作量统计'!$A$1:$I$19</definedName>
    <definedName name="PSET_holiday" localSheetId="7">#REF!</definedName>
    <definedName name="PSET_holiday" localSheetId="6">#REF!</definedName>
    <definedName name="PSET_holiday">#REF!</definedName>
    <definedName name="PSPRate" localSheetId="7">#REF!</definedName>
    <definedName name="PSPRate" localSheetId="6">#REF!</definedName>
    <definedName name="PSPRate">#REF!</definedName>
    <definedName name="PSPRate_proj" localSheetId="7">#REF!</definedName>
    <definedName name="PSPRate_proj" localSheetId="6">#REF!</definedName>
    <definedName name="PSPRate_proj">#REF!</definedName>
    <definedName name="PSPRevRate" localSheetId="7">#REF!</definedName>
    <definedName name="PSPRevRate" localSheetId="6">#REF!</definedName>
    <definedName name="PSPRevRate">#REF!</definedName>
    <definedName name="PSPRevRate_proj" localSheetId="7">#REF!</definedName>
    <definedName name="PSPRevRate_proj" localSheetId="6">#REF!</definedName>
    <definedName name="PSPRevRate_proj">#REF!</definedName>
    <definedName name="Ratings">'[13]ECU Data'!$B$44:$B$48</definedName>
    <definedName name="S" localSheetId="7">#REF!</definedName>
    <definedName name="S" localSheetId="6">#REF!</definedName>
    <definedName name="S">#REF!</definedName>
    <definedName name="sdas" localSheetId="4">#REF!</definedName>
    <definedName name="sdas" localSheetId="7">#REF!</definedName>
    <definedName name="sdas" localSheetId="0">#REF!</definedName>
    <definedName name="sdas" localSheetId="6">#REF!</definedName>
    <definedName name="sdas">#REF!</definedName>
    <definedName name="sdasd" localSheetId="4">#REF!</definedName>
    <definedName name="sdasd" localSheetId="0">#REF!</definedName>
    <definedName name="sdasd">#REF!</definedName>
    <definedName name="sdfdsf" localSheetId="7">#REF!</definedName>
    <definedName name="sdfdsf" localSheetId="6">#REF!</definedName>
    <definedName name="sdfdsf">#REF!</definedName>
    <definedName name="sdsdesewe" localSheetId="4">#REF!</definedName>
    <definedName name="sdsdesewe" localSheetId="0">#REF!</definedName>
    <definedName name="sdsdesewe" localSheetId="5">#REF!</definedName>
    <definedName name="sdsdesewe">#REF!</definedName>
    <definedName name="Services">'[13]Pulldown menu entries'!$C$11:$C$30</definedName>
    <definedName name="Software" localSheetId="7">#REF!</definedName>
    <definedName name="Software" localSheetId="0">#REF!</definedName>
    <definedName name="Software" localSheetId="6">#REF!</definedName>
    <definedName name="Software">#REF!</definedName>
    <definedName name="spc" localSheetId="4">#REF!</definedName>
    <definedName name="spc" localSheetId="7">#REF!</definedName>
    <definedName name="spc" localSheetId="0">#REF!</definedName>
    <definedName name="spc" localSheetId="6">#REF!</definedName>
    <definedName name="spc">#REF!</definedName>
    <definedName name="ss" localSheetId="4">#REF!</definedName>
    <definedName name="ss" localSheetId="7">#REF!</definedName>
    <definedName name="ss" localSheetId="5">#REF!</definedName>
    <definedName name="ss" localSheetId="6">#REF!</definedName>
    <definedName name="ss">#REF!</definedName>
    <definedName name="Synthèse__couverture_SW_VAL" localSheetId="7">#REF!</definedName>
    <definedName name="Synthèse__couverture_SW_VAL" localSheetId="6">#REF!</definedName>
    <definedName name="Synthèse__couverture_SW_VAL">#REF!</definedName>
    <definedName name="Synthèse_Liste_des_exigences" localSheetId="7">#REF!</definedName>
    <definedName name="Synthèse_Liste_des_exigences" localSheetId="6">#REF!</definedName>
    <definedName name="Synthèse_Liste_des_exigences">#REF!</definedName>
    <definedName name="Synthèse_Logiciel_et_Validation" localSheetId="7">#REF!</definedName>
    <definedName name="Synthèse_Logiciel_et_Validation" localSheetId="6">#REF!</definedName>
    <definedName name="Synthèse_Logiciel_et_Validation">#REF!</definedName>
    <definedName name="sz" localSheetId="4">#REF!</definedName>
    <definedName name="sz" localSheetId="5">#REF!</definedName>
    <definedName name="sz">#REF!</definedName>
    <definedName name="test" localSheetId="4">#REF!</definedName>
    <definedName name="test">#REF!</definedName>
    <definedName name="TestMethod">'[13]Pulldown menu entries'!$E$16:$E$18</definedName>
    <definedName name="Tests">'[13]Pulldown menu entries'!$E$4:$E$12</definedName>
    <definedName name="TestStatus">'[13]Pulldown menu entries'!$B$4:$B$8</definedName>
    <definedName name="TestType" localSheetId="7">[14]definitions!#REF!</definedName>
    <definedName name="TestType" localSheetId="6">[14]definitions!#REF!</definedName>
    <definedName name="TestType">[14]definitions!#REF!</definedName>
    <definedName name="Title1" localSheetId="7">#REF!</definedName>
    <definedName name="Title1" localSheetId="6">#REF!</definedName>
    <definedName name="Title1">#REF!</definedName>
    <definedName name="Total" localSheetId="7">#REF!</definedName>
    <definedName name="Total" localSheetId="6">#REF!</definedName>
    <definedName name="Total">#REF!</definedName>
    <definedName name="TP层测试截图" localSheetId="4">#REF!</definedName>
    <definedName name="TP层测试截图" localSheetId="0">#REF!</definedName>
    <definedName name="TP层测试截图" localSheetId="5">#REF!</definedName>
    <definedName name="TP层测试截图">#REF!</definedName>
    <definedName name="tttea啊" localSheetId="4">#REF!</definedName>
    <definedName name="tttea啊" localSheetId="0">#REF!</definedName>
    <definedName name="tttea啊" localSheetId="5">#REF!</definedName>
    <definedName name="tttea啊">#REF!</definedName>
    <definedName name="UFPrn20060930130646">#REF!</definedName>
    <definedName name="UTRate" localSheetId="7">#REF!</definedName>
    <definedName name="UTRate" localSheetId="6">#REF!</definedName>
    <definedName name="UTRate">#REF!</definedName>
    <definedName name="UTRate_proj" localSheetId="7">#REF!</definedName>
    <definedName name="UTRate_proj" localSheetId="6">#REF!</definedName>
    <definedName name="UTRate_proj">#REF!</definedName>
    <definedName name="UTYield" localSheetId="7">#REF!</definedName>
    <definedName name="UTYield" localSheetId="6">#REF!</definedName>
    <definedName name="UTYield">#REF!</definedName>
    <definedName name="ValidationRate" localSheetId="7">#REF!</definedName>
    <definedName name="ValidationRate" localSheetId="6">#REF!</definedName>
    <definedName name="ValidationRate">#REF!</definedName>
    <definedName name="ValidationRate_proj" localSheetId="7">#REF!</definedName>
    <definedName name="ValidationRate_proj" localSheetId="6">#REF!</definedName>
    <definedName name="ValidationRate_proj">#REF!</definedName>
    <definedName name="ValidationYield" localSheetId="7">#REF!</definedName>
    <definedName name="ValidationYield" localSheetId="6">#REF!</definedName>
    <definedName name="ValidationYield">#REF!</definedName>
    <definedName name="ValidObjectTypes">[15]glossary!$C$7:$C$11</definedName>
    <definedName name="ValisationRate" localSheetId="7">#REF!</definedName>
    <definedName name="ValisationRate" localSheetId="6">#REF!</definedName>
    <definedName name="ValisationRate">#REF!</definedName>
    <definedName name="vvgds" localSheetId="4">#REF!</definedName>
    <definedName name="vvgds" localSheetId="7">#REF!</definedName>
    <definedName name="vvgds" localSheetId="5">#REF!</definedName>
    <definedName name="vvgds" localSheetId="6">#REF!</definedName>
    <definedName name="vvgds">#REF!</definedName>
    <definedName name="WarrantyRate" localSheetId="7">#REF!</definedName>
    <definedName name="WarrantyRate" localSheetId="6">#REF!</definedName>
    <definedName name="WarrantyRate">#REF!</definedName>
    <definedName name="WarrantyRate_proj" localSheetId="7">#REF!</definedName>
    <definedName name="WarrantyRate_proj" localSheetId="6">#REF!</definedName>
    <definedName name="WarrantyRate_proj">#REF!</definedName>
    <definedName name="Weighting" localSheetId="7">#REF!</definedName>
    <definedName name="Weighting" localSheetId="6">#REF!</definedName>
    <definedName name="Weighting">#REF!</definedName>
    <definedName name="WY">[16]封面!#REF!</definedName>
    <definedName name="xxxx21" localSheetId="4">#REF!</definedName>
    <definedName name="xxxx21" localSheetId="7">#REF!</definedName>
    <definedName name="xxxx21" localSheetId="5">#REF!</definedName>
    <definedName name="xxxx21" localSheetId="6">#REF!</definedName>
    <definedName name="xxxx21">#REF!</definedName>
    <definedName name="y" localSheetId="4">#REF!</definedName>
    <definedName name="y" localSheetId="7">#REF!</definedName>
    <definedName name="y" localSheetId="5">#REF!</definedName>
    <definedName name="y" localSheetId="6">#REF!</definedName>
    <definedName name="y">#REF!</definedName>
    <definedName name="yguyyu" localSheetId="4">#REF!</definedName>
    <definedName name="yguyyu" localSheetId="7">#REF!</definedName>
    <definedName name="yguyyu" localSheetId="5">#REF!</definedName>
    <definedName name="yguyyu" localSheetId="6">#REF!</definedName>
    <definedName name="yguyyu">#REF!</definedName>
    <definedName name="Z_0340D49B_A784_4E0A_AC4C_3116D80A9C03_.wvu.PrintArea" localSheetId="7">#REF!</definedName>
    <definedName name="Z_0340D49B_A784_4E0A_AC4C_3116D80A9C03_.wvu.PrintArea" localSheetId="6">#REF!</definedName>
    <definedName name="Z_0340D49B_A784_4E0A_AC4C_3116D80A9C03_.wvu.PrintArea">#REF!</definedName>
    <definedName name="Z_0340D49B_A784_4E0A_AC4C_3116D80A9C03_.wvu.Rows" localSheetId="7">(#REF!,#REF!,#REF!,#REF!,#REF!,#REF!)</definedName>
    <definedName name="Z_0340D49B_A784_4E0A_AC4C_3116D80A9C03_.wvu.Rows" localSheetId="6">(#REF!,#REF!,#REF!,#REF!,#REF!,#REF!)</definedName>
    <definedName name="Z_0340D49B_A784_4E0A_AC4C_3116D80A9C03_.wvu.Rows">(#REF!,#REF!,#REF!,#REF!,#REF!,#REF!)</definedName>
    <definedName name="Z_0E014F0E_18ED_4127_9EA5_F82A5A6A6AEC_.wvu.PrintArea" localSheetId="7">#REF!</definedName>
    <definedName name="Z_0E014F0E_18ED_4127_9EA5_F82A5A6A6AEC_.wvu.PrintArea" localSheetId="6">#REF!</definedName>
    <definedName name="Z_0E014F0E_18ED_4127_9EA5_F82A5A6A6AEC_.wvu.PrintArea">#REF!</definedName>
    <definedName name="Z_0E014F0E_18ED_4127_9EA5_F82A5A6A6AEC_.wvu.PrintTitles" localSheetId="7">(#REF!,#REF!)</definedName>
    <definedName name="Z_0E014F0E_18ED_4127_9EA5_F82A5A6A6AEC_.wvu.PrintTitles" localSheetId="6">(#REF!,#REF!)</definedName>
    <definedName name="Z_0E014F0E_18ED_4127_9EA5_F82A5A6A6AEC_.wvu.PrintTitles">(#REF!,#REF!)</definedName>
    <definedName name="Z_198A0379_3494_496D_B204_0844BA2C9D10_.wvu.PrintArea" localSheetId="7">#REF!</definedName>
    <definedName name="Z_198A0379_3494_496D_B204_0844BA2C9D10_.wvu.PrintArea" localSheetId="6">#REF!</definedName>
    <definedName name="Z_198A0379_3494_496D_B204_0844BA2C9D10_.wvu.PrintArea">#REF!</definedName>
    <definedName name="Z_198A0379_3494_496D_B204_0844BA2C9D10_.wvu.PrintTitles" localSheetId="7">(#REF!,#REF!)</definedName>
    <definedName name="Z_198A0379_3494_496D_B204_0844BA2C9D10_.wvu.PrintTitles" localSheetId="6">(#REF!,#REF!)</definedName>
    <definedName name="Z_198A0379_3494_496D_B204_0844BA2C9D10_.wvu.PrintTitles">(#REF!,#REF!)</definedName>
    <definedName name="Z_1F885346_EDBC_47DC_B3BC_91A5FECCCFE0_.wvu.Cols" localSheetId="7">#REF!</definedName>
    <definedName name="Z_1F885346_EDBC_47DC_B3BC_91A5FECCCFE0_.wvu.Cols" localSheetId="6">#REF!</definedName>
    <definedName name="Z_1F885346_EDBC_47DC_B3BC_91A5FECCCFE0_.wvu.Cols">#REF!</definedName>
    <definedName name="Z_2C95A9C5_CA8F_427F_AC26_57227F97AE32_.wvu.Cols" localSheetId="7">#REF!</definedName>
    <definedName name="Z_2C95A9C5_CA8F_427F_AC26_57227F97AE32_.wvu.Cols" localSheetId="6">#REF!</definedName>
    <definedName name="Z_2C95A9C5_CA8F_427F_AC26_57227F97AE32_.wvu.Cols">#REF!</definedName>
    <definedName name="Z_36087988_DA2A_4F24_8B07_2AB2DDE49B2D_.wvu.Cols" localSheetId="7">#REF!</definedName>
    <definedName name="Z_36087988_DA2A_4F24_8B07_2AB2DDE49B2D_.wvu.Cols" localSheetId="6">#REF!</definedName>
    <definedName name="Z_36087988_DA2A_4F24_8B07_2AB2DDE49B2D_.wvu.Cols">#REF!</definedName>
    <definedName name="Z_3DA1A5CA_7E83_415F_8A5B_C9C651A8F439_.wvu.Cols" localSheetId="7">#REF!</definedName>
    <definedName name="Z_3DA1A5CA_7E83_415F_8A5B_C9C651A8F439_.wvu.Cols" localSheetId="6">#REF!</definedName>
    <definedName name="Z_3DA1A5CA_7E83_415F_8A5B_C9C651A8F439_.wvu.Cols">#REF!</definedName>
    <definedName name="Z_3DA1A5CA_7E83_415F_8A5B_C9C651A8F439_.wvu.PrintArea" localSheetId="7">#REF!</definedName>
    <definedName name="Z_3DA1A5CA_7E83_415F_8A5B_C9C651A8F439_.wvu.PrintArea" localSheetId="6">#REF!</definedName>
    <definedName name="Z_3DA1A5CA_7E83_415F_8A5B_C9C651A8F439_.wvu.PrintArea">#REF!</definedName>
    <definedName name="Z_3DA1A5CA_7E83_415F_8A5B_C9C651A8F439_.wvu.Rows" localSheetId="7">(#REF!,#REF!,#REF!)</definedName>
    <definedName name="Z_3DA1A5CA_7E83_415F_8A5B_C9C651A8F439_.wvu.Rows" localSheetId="6">(#REF!,#REF!,#REF!)</definedName>
    <definedName name="Z_3DA1A5CA_7E83_415F_8A5B_C9C651A8F439_.wvu.Rows">(#REF!,#REF!,#REF!)</definedName>
    <definedName name="Z_4AEA17C3_3073_4FD1_87C5_BF399832F2B8_.wvu.Cols" localSheetId="7">#REF!</definedName>
    <definedName name="Z_4AEA17C3_3073_4FD1_87C5_BF399832F2B8_.wvu.Cols" localSheetId="6">#REF!</definedName>
    <definedName name="Z_4AEA17C3_3073_4FD1_87C5_BF399832F2B8_.wvu.Cols">#REF!</definedName>
    <definedName name="Z_4AEA17C3_3073_4FD1_87C5_BF399832F2B8_.wvu.PrintArea" localSheetId="7">#REF!</definedName>
    <definedName name="Z_4AEA17C3_3073_4FD1_87C5_BF399832F2B8_.wvu.PrintArea" localSheetId="6">#REF!</definedName>
    <definedName name="Z_4AEA17C3_3073_4FD1_87C5_BF399832F2B8_.wvu.PrintArea">#REF!</definedName>
    <definedName name="Z_6EDADF9E_03CB_47E6_9F8B_0A7CEE667EB8_.wvu.PrintArea" localSheetId="7">#REF!</definedName>
    <definedName name="Z_6EDADF9E_03CB_47E6_9F8B_0A7CEE667EB8_.wvu.PrintArea" localSheetId="6">#REF!</definedName>
    <definedName name="Z_6EDADF9E_03CB_47E6_9F8B_0A7CEE667EB8_.wvu.PrintArea">#REF!</definedName>
    <definedName name="Z_6EDADF9E_03CB_47E6_9F8B_0A7CEE667EB8_.wvu.PrintTitles" localSheetId="7">(#REF!,#REF!)</definedName>
    <definedName name="Z_6EDADF9E_03CB_47E6_9F8B_0A7CEE667EB8_.wvu.PrintTitles" localSheetId="6">(#REF!,#REF!)</definedName>
    <definedName name="Z_6EDADF9E_03CB_47E6_9F8B_0A7CEE667EB8_.wvu.PrintTitles">(#REF!,#REF!)</definedName>
    <definedName name="Z_791599F9_E75C_461C_9F67_B205E04A3011_.wvu.Cols" localSheetId="7">#REF!</definedName>
    <definedName name="Z_791599F9_E75C_461C_9F67_B205E04A3011_.wvu.Cols" localSheetId="6">#REF!</definedName>
    <definedName name="Z_791599F9_E75C_461C_9F67_B205E04A3011_.wvu.Cols">#REF!</definedName>
    <definedName name="Z_9DCAFFB7_6521_47FD_953A_BB2AF7F6A34D_.wvu.Cols" localSheetId="7">#REF!</definedName>
    <definedName name="Z_9DCAFFB7_6521_47FD_953A_BB2AF7F6A34D_.wvu.Cols" localSheetId="6">#REF!</definedName>
    <definedName name="Z_9DCAFFB7_6521_47FD_953A_BB2AF7F6A34D_.wvu.Cols">#REF!</definedName>
    <definedName name="Z_9DCAFFB7_6521_47FD_953A_BB2AF7F6A34D_.wvu.PrintArea" localSheetId="7">#REF!</definedName>
    <definedName name="Z_9DCAFFB7_6521_47FD_953A_BB2AF7F6A34D_.wvu.PrintArea" localSheetId="6">#REF!</definedName>
    <definedName name="Z_9DCAFFB7_6521_47FD_953A_BB2AF7F6A34D_.wvu.PrintArea">#REF!</definedName>
    <definedName name="Z_9DCAFFB7_6521_47FD_953A_BB2AF7F6A34D_.wvu.Rows" localSheetId="7">(#REF!,#REF!,#REF!,#REF!,#REF!,#REF!,#REF!,#REF!,#REF!,#REF!,#REF!,#REF!,#REF!,#REF!,#REF!,#REF!,#REF!,#REF!,#REF!)</definedName>
    <definedName name="Z_9DCAFFB7_6521_47FD_953A_BB2AF7F6A34D_.wvu.Rows" localSheetId="6">(#REF!,#REF!,#REF!,#REF!,#REF!,#REF!,#REF!,#REF!,#REF!,#REF!,#REF!,#REF!,#REF!,#REF!,#REF!,#REF!,#REF!,#REF!,#REF!)</definedName>
    <definedName name="Z_9DCAFFB7_6521_47FD_953A_BB2AF7F6A34D_.wvu.Rows">(#REF!,#REF!,#REF!,#REF!,#REF!,#REF!,#REF!,#REF!,#REF!,#REF!,#REF!,#REF!,#REF!,#REF!,#REF!,#REF!,#REF!,#REF!,#REF!)</definedName>
    <definedName name="Z_9F57D8B1_CB48_4163_9519_2BB17626DDB1_.wvu.Cols" localSheetId="7">#REF!</definedName>
    <definedName name="Z_9F57D8B1_CB48_4163_9519_2BB17626DDB1_.wvu.Cols" localSheetId="6">#REF!</definedName>
    <definedName name="Z_9F57D8B1_CB48_4163_9519_2BB17626DDB1_.wvu.Cols">#REF!</definedName>
    <definedName name="Z_9F57D8B1_CB48_4163_9519_2BB17626DDB1_.wvu.PrintArea" localSheetId="7">#REF!</definedName>
    <definedName name="Z_9F57D8B1_CB48_4163_9519_2BB17626DDB1_.wvu.PrintArea" localSheetId="6">#REF!</definedName>
    <definedName name="Z_9F57D8B1_CB48_4163_9519_2BB17626DDB1_.wvu.PrintArea">#REF!</definedName>
    <definedName name="Z_A62B130A_2772_48C1_9220_B424166D6305_.wvu.PrintArea" localSheetId="7">#REF!</definedName>
    <definedName name="Z_A62B130A_2772_48C1_9220_B424166D6305_.wvu.PrintArea" localSheetId="6">#REF!</definedName>
    <definedName name="Z_A62B130A_2772_48C1_9220_B424166D6305_.wvu.PrintArea">#REF!</definedName>
    <definedName name="Z_A62B130A_2772_48C1_9220_B424166D6305_.wvu.PrintTitles" localSheetId="7">(#REF!,#REF!)</definedName>
    <definedName name="Z_A62B130A_2772_48C1_9220_B424166D6305_.wvu.PrintTitles" localSheetId="6">(#REF!,#REF!)</definedName>
    <definedName name="Z_A62B130A_2772_48C1_9220_B424166D6305_.wvu.PrintTitles">(#REF!,#REF!)</definedName>
    <definedName name="Z_AA2711FB_971A_45C5_8A3F_35870D38DAB5_.wvu.Cols" localSheetId="7">#REF!</definedName>
    <definedName name="Z_AA2711FB_971A_45C5_8A3F_35870D38DAB5_.wvu.Cols" localSheetId="6">#REF!</definedName>
    <definedName name="Z_AA2711FB_971A_45C5_8A3F_35870D38DAB5_.wvu.Cols">#REF!</definedName>
    <definedName name="Z_AA2711FB_971A_45C5_8A3F_35870D38DAB5_.wvu.PrintArea" localSheetId="7">#REF!</definedName>
    <definedName name="Z_AA2711FB_971A_45C5_8A3F_35870D38DAB5_.wvu.PrintArea" localSheetId="6">#REF!</definedName>
    <definedName name="Z_AA2711FB_971A_45C5_8A3F_35870D38DAB5_.wvu.PrintArea">#REF!</definedName>
    <definedName name="Z_AA2711FB_971A_45C5_8A3F_35870D38DAB5_.wvu.Rows" localSheetId="7">(#REF!,#REF!,#REF!,#REF!,#REF!,#REF!,#REF!,#REF!,#REF!)</definedName>
    <definedName name="Z_AA2711FB_971A_45C5_8A3F_35870D38DAB5_.wvu.Rows" localSheetId="6">(#REF!,#REF!,#REF!,#REF!,#REF!,#REF!,#REF!,#REF!,#REF!)</definedName>
    <definedName name="Z_AA2711FB_971A_45C5_8A3F_35870D38DAB5_.wvu.Rows">(#REF!,#REF!,#REF!,#REF!,#REF!,#REF!,#REF!,#REF!,#REF!)</definedName>
    <definedName name="Z_F636A036_8B26_4195_B5D3_BE2F4BB72E97_.wvu.PrintArea" localSheetId="7">#REF!</definedName>
    <definedName name="Z_F636A036_8B26_4195_B5D3_BE2F4BB72E97_.wvu.PrintArea" localSheetId="6">#REF!</definedName>
    <definedName name="Z_F636A036_8B26_4195_B5D3_BE2F4BB72E97_.wvu.PrintArea">#REF!</definedName>
    <definedName name="Z_F636A036_8B26_4195_B5D3_BE2F4BB72E97_.wvu.Rows" localSheetId="7">(#REF!,#REF!,#REF!,#REF!,#REF!,#REF!,#REF!,#REF!,#REF!,#REF!,#REF!,#REF!,#REF!,#REF!,#REF!,#REF!,#REF!,#REF!,#REF!)</definedName>
    <definedName name="Z_F636A036_8B26_4195_B5D3_BE2F4BB72E97_.wvu.Rows" localSheetId="6">(#REF!,#REF!,#REF!,#REF!,#REF!,#REF!,#REF!,#REF!,#REF!,#REF!,#REF!,#REF!,#REF!,#REF!,#REF!,#REF!,#REF!,#REF!,#REF!)</definedName>
    <definedName name="Z_F636A036_8B26_4195_B5D3_BE2F4BB72E97_.wvu.Rows">(#REF!,#REF!,#REF!,#REF!,#REF!,#REF!,#REF!,#REF!,#REF!,#REF!,#REF!,#REF!,#REF!,#REF!,#REF!,#REF!,#REF!,#REF!,#REF!)</definedName>
    <definedName name="zssz" localSheetId="4">#REF!</definedName>
    <definedName name="zssz" localSheetId="7">#REF!</definedName>
    <definedName name="zssz" localSheetId="6">#REF!</definedName>
    <definedName name="zssz">#REF!</definedName>
    <definedName name="zxa" localSheetId="4">#REF!</definedName>
    <definedName name="zxa" localSheetId="7">#REF!</definedName>
    <definedName name="zxa" localSheetId="6">#REF!</definedName>
    <definedName name="zxa">#REF!</definedName>
    <definedName name="zz" localSheetId="4">#REF!</definedName>
    <definedName name="zz" localSheetId="7">#REF!</definedName>
    <definedName name="zz" localSheetId="6">#REF!</definedName>
    <definedName name="zz">#REF!</definedName>
    <definedName name="啊" localSheetId="7">#REF!</definedName>
    <definedName name="啊" localSheetId="6">#REF!</definedName>
    <definedName name="啊">#REF!</definedName>
    <definedName name="啊实打实的" localSheetId="4">#REF!</definedName>
    <definedName name="啊实打实的">#REF!</definedName>
    <definedName name="版本号" localSheetId="7">[8]机种系列!$H$5:$H$27</definedName>
    <definedName name="版本号" localSheetId="6">[8]机种系列!$H$5:$H$27</definedName>
    <definedName name="版本号">[9]机种系列!$H$5:$H$27</definedName>
    <definedName name="编制" localSheetId="7">#REF!</definedName>
    <definedName name="编制" localSheetId="6">#REF!</definedName>
    <definedName name="编制">#REF!</definedName>
    <definedName name="编制人" localSheetId="7">#REF!</definedName>
    <definedName name="编制人" localSheetId="6">#REF!</definedName>
    <definedName name="编制人">#REF!</definedName>
    <definedName name="编制日期" localSheetId="7">#REF!</definedName>
    <definedName name="编制日期" localSheetId="6">#REF!</definedName>
    <definedName name="编制日期">#REF!</definedName>
    <definedName name="表" localSheetId="7">#REF!</definedName>
    <definedName name="表" localSheetId="6">#REF!</definedName>
    <definedName name="表">#REF!</definedName>
    <definedName name="表1" localSheetId="7">#REF!</definedName>
    <definedName name="表1" localSheetId="6">#REF!</definedName>
    <definedName name="表1">#REF!</definedName>
    <definedName name="表2" localSheetId="7">#REF!</definedName>
    <definedName name="表2" localSheetId="6">#REF!</definedName>
    <definedName name="表2">#REF!</definedName>
    <definedName name="车身" localSheetId="7">#REF!</definedName>
    <definedName name="车身" localSheetId="6">#REF!</definedName>
    <definedName name="车身">#REF!</definedName>
    <definedName name="大使馆" localSheetId="4">#REF!</definedName>
    <definedName name="大使馆" localSheetId="5">#REF!</definedName>
    <definedName name="大使馆">#REF!</definedName>
    <definedName name="冬方" localSheetId="7">#REF!</definedName>
    <definedName name="冬方" localSheetId="6">#REF!</definedName>
    <definedName name="冬方">#REF!</definedName>
    <definedName name="额" localSheetId="7">#REF!</definedName>
    <definedName name="额" localSheetId="6">#REF!</definedName>
    <definedName name="额">#REF!</definedName>
    <definedName name="发动机启动" localSheetId="4">#REF!</definedName>
    <definedName name="发动机启动" localSheetId="5">#REF!</definedName>
    <definedName name="发动机启动">#REF!</definedName>
    <definedName name="工程不良" localSheetId="7">[10]記入例!$A$9:$B$37</definedName>
    <definedName name="工程不良" localSheetId="6">[10]記入例!$A$9:$B$37</definedName>
    <definedName name="工程不良">[11]記入例!$A$9:$B$37</definedName>
    <definedName name="功能测试项目GW">(#REF!,#REF!,#REF!,#REF!,#REF!,#REF!,#REF!,#REF!,#REF!)</definedName>
    <definedName name="合計" localSheetId="7">#REF!,#REF!,#REF!,#REF!,#REF!,#REF!</definedName>
    <definedName name="合計" localSheetId="6">#REF!,#REF!,#REF!,#REF!,#REF!,#REF!</definedName>
    <definedName name="合計">#REF!,#REF!,#REF!,#REF!,#REF!,#REF!</definedName>
    <definedName name="滑动机构" localSheetId="7">[8]机种系列!$E$14:$E$17</definedName>
    <definedName name="滑动机构" localSheetId="6">[8]机种系列!$E$14:$E$17</definedName>
    <definedName name="滑动机构">[9]机种系列!$E$14:$E$17</definedName>
    <definedName name="会签" localSheetId="7">#REF!</definedName>
    <definedName name="会签" localSheetId="6">#REF!</definedName>
    <definedName name="会签">#REF!</definedName>
    <definedName name="会签1" localSheetId="7">#REF!</definedName>
    <definedName name="会签1" localSheetId="6">#REF!</definedName>
    <definedName name="会签1">#REF!</definedName>
    <definedName name="会签2">[16]封面!#REF!</definedName>
    <definedName name="会签23" localSheetId="7">#REF!</definedName>
    <definedName name="会签23" localSheetId="6">#REF!</definedName>
    <definedName name="会签23">#REF!</definedName>
    <definedName name="会签人" localSheetId="7">#REF!</definedName>
    <definedName name="会签人" localSheetId="6">#REF!</definedName>
    <definedName name="会签人">#REF!</definedName>
    <definedName name="会签日期" localSheetId="7">#REF!</definedName>
    <definedName name="会签日期" localSheetId="6">#REF!</definedName>
    <definedName name="会签日期">#REF!</definedName>
    <definedName name="基本信息1" localSheetId="4">'[7]Pulldown menu entries'!$E$4:$E$12</definedName>
    <definedName name="基本信息1">'[7]Pulldown menu entries'!$E$4:$E$12</definedName>
    <definedName name="集成测试" localSheetId="4">#REF!</definedName>
    <definedName name="集成测试" localSheetId="7">#REF!</definedName>
    <definedName name="集成测试" localSheetId="0">#REF!</definedName>
    <definedName name="集成测试" localSheetId="5">#REF!</definedName>
    <definedName name="集成测试" localSheetId="6">#REF!</definedName>
    <definedName name="集成测试">#REF!</definedName>
    <definedName name="交换机" localSheetId="4">#REF!</definedName>
    <definedName name="交换机" localSheetId="7">#REF!</definedName>
    <definedName name="交换机" localSheetId="0">#REF!</definedName>
    <definedName name="交换机" localSheetId="5">#REF!</definedName>
    <definedName name="交换机" localSheetId="6">#REF!</definedName>
    <definedName name="交换机">#REF!</definedName>
    <definedName name="可能性" localSheetId="7">[17]リスト!$C$2:$C$6</definedName>
    <definedName name="可能性" localSheetId="6">[17]リスト!$C$2:$C$6</definedName>
    <definedName name="可能性">[17]リスト!$C$2:$C$6</definedName>
    <definedName name="空调控制电压提升模式" localSheetId="4">#REF!</definedName>
    <definedName name="空调控制电压提升模式" localSheetId="7">#REF!</definedName>
    <definedName name="空调控制电压提升模式" localSheetId="0">#REF!</definedName>
    <definedName name="空调控制电压提升模式" localSheetId="5">#REF!</definedName>
    <definedName name="空调控制电压提升模式" localSheetId="6">#REF!</definedName>
    <definedName name="空调控制电压提升模式">#REF!</definedName>
    <definedName name="链路" localSheetId="7">#REF!</definedName>
    <definedName name="链路" localSheetId="6">#REF!</definedName>
    <definedName name="链路">#REF!</definedName>
    <definedName name="批准" localSheetId="7">#REF!</definedName>
    <definedName name="批准" localSheetId="6">#REF!</definedName>
    <definedName name="批准">#REF!</definedName>
    <definedName name="批准人" localSheetId="7">#REF!</definedName>
    <definedName name="批准人" localSheetId="6">#REF!</definedName>
    <definedName name="批准人">#REF!</definedName>
    <definedName name="批准人1" localSheetId="7">#REF!</definedName>
    <definedName name="批准人1" localSheetId="6">#REF!</definedName>
    <definedName name="批准人1">#REF!</definedName>
    <definedName name="批准日期" localSheetId="7">#REF!</definedName>
    <definedName name="批准日期" localSheetId="6">#REF!</definedName>
    <definedName name="批准日期">#REF!</definedName>
    <definedName name="确认测试" localSheetId="4">#REF!</definedName>
    <definedName name="确认测试" localSheetId="5">#REF!</definedName>
    <definedName name="确认测试">#REF!</definedName>
    <definedName name="软件" localSheetId="4">#REF!</definedName>
    <definedName name="软件">#REF!</definedName>
    <definedName name="软件版本" localSheetId="4">#REF!</definedName>
    <definedName name="软件版本" localSheetId="5">#REF!</definedName>
    <definedName name="软件版本">#REF!</definedName>
    <definedName name="审定" localSheetId="7">#REF!</definedName>
    <definedName name="审定" localSheetId="6">#REF!</definedName>
    <definedName name="审定">#REF!</definedName>
    <definedName name="审定人" localSheetId="7">#REF!</definedName>
    <definedName name="审定人" localSheetId="6">#REF!</definedName>
    <definedName name="审定人">#REF!</definedName>
    <definedName name="审定日期" localSheetId="7">#REF!</definedName>
    <definedName name="审定日期" localSheetId="6">#REF!</definedName>
    <definedName name="审定日期">#REF!</definedName>
    <definedName name="审核" localSheetId="7">#REF!</definedName>
    <definedName name="审核" localSheetId="6">#REF!</definedName>
    <definedName name="审核">#REF!</definedName>
    <definedName name="审核人" localSheetId="7">#REF!</definedName>
    <definedName name="审核人" localSheetId="6">#REF!</definedName>
    <definedName name="审核人">#REF!</definedName>
    <definedName name="审核日期" localSheetId="7">#REF!</definedName>
    <definedName name="审核日期" localSheetId="6">#REF!</definedName>
    <definedName name="审核日期">#REF!</definedName>
    <definedName name="是" localSheetId="4">#REF!</definedName>
    <definedName name="是" localSheetId="5">#REF!</definedName>
    <definedName name="是">#REF!</definedName>
    <definedName name="是v" localSheetId="4">#REF!</definedName>
    <definedName name="是v" localSheetId="5">#REF!</definedName>
    <definedName name="是v">#REF!</definedName>
    <definedName name="投入数">#REF!</definedName>
    <definedName name="外界环境温度传感器的读数" localSheetId="4">#REF!</definedName>
    <definedName name="外界环境温度传感器的读数" localSheetId="5">#REF!</definedName>
    <definedName name="外界环境温度传感器的读数">#REF!</definedName>
    <definedName name="威威" localSheetId="7">#REF!</definedName>
    <definedName name="威威" localSheetId="6">#REF!</definedName>
    <definedName name="威威">#REF!</definedName>
    <definedName name="我" localSheetId="7">#REF!</definedName>
    <definedName name="我" localSheetId="6">#REF!</definedName>
    <definedName name="我">#REF!</definedName>
    <definedName name="下" localSheetId="7">#REF!</definedName>
    <definedName name="下" localSheetId="6">#REF!</definedName>
    <definedName name="下">#REF!</definedName>
    <definedName name="钥匙位置" localSheetId="4">#REF!</definedName>
    <definedName name="钥匙位置" localSheetId="5">#REF!</definedName>
    <definedName name="钥匙位置">#REF!</definedName>
    <definedName name="以太网" localSheetId="7">#REF!</definedName>
    <definedName name="以太网" localSheetId="6">#REF!</definedName>
    <definedName name="以太网">#REF!</definedName>
    <definedName name="資格1" localSheetId="7">[17]リスト!$A$2:$A$4</definedName>
    <definedName name="資格1" localSheetId="6">[17]リスト!$A$2:$A$4</definedName>
    <definedName name="資格1">[17]リスト!$A$2:$A$4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7" i="34" l="1"/>
  <c r="S19" i="34"/>
  <c r="O19" i="34"/>
  <c r="S18" i="34"/>
  <c r="O18" i="34"/>
  <c r="S17" i="34"/>
  <c r="O17" i="34"/>
  <c r="S16" i="34"/>
  <c r="O16" i="34"/>
  <c r="S15" i="34"/>
  <c r="O15" i="34"/>
  <c r="S14" i="34"/>
  <c r="O14" i="34"/>
  <c r="S13" i="34"/>
  <c r="O13" i="34"/>
  <c r="S12" i="34"/>
  <c r="O12" i="34"/>
  <c r="S11" i="34"/>
  <c r="O11" i="34"/>
  <c r="S10" i="34"/>
  <c r="O10" i="34"/>
  <c r="K130" i="33"/>
  <c r="S20" i="34" l="1"/>
  <c r="O20" i="34"/>
  <c r="S19" i="33"/>
  <c r="S18" i="33"/>
  <c r="S17" i="33"/>
  <c r="S16" i="33"/>
  <c r="S15" i="33"/>
  <c r="S14" i="33"/>
  <c r="S13" i="33"/>
  <c r="S12" i="33"/>
  <c r="S11" i="33"/>
  <c r="S10" i="33"/>
  <c r="O14" i="33"/>
  <c r="O15" i="33"/>
  <c r="O13" i="33"/>
  <c r="O12" i="33"/>
  <c r="O11" i="33"/>
  <c r="O19" i="33"/>
  <c r="O18" i="33"/>
  <c r="O17" i="33"/>
  <c r="O16" i="33"/>
  <c r="O10" i="33"/>
  <c r="K71" i="33"/>
  <c r="K63" i="33"/>
  <c r="J39" i="33"/>
  <c r="O20" i="33" l="1"/>
  <c r="S20" i="33"/>
  <c r="C12" i="24"/>
  <c r="D12" i="24"/>
  <c r="F4" i="24" l="1"/>
  <c r="E4" i="24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G5" i="27"/>
  <c r="R5" i="27" l="1"/>
  <c r="F8" i="24"/>
  <c r="F13" i="24"/>
  <c r="F14" i="24"/>
  <c r="F15" i="24"/>
  <c r="F16" i="24"/>
  <c r="E12" i="24"/>
  <c r="F12" i="24"/>
  <c r="G5" i="30" l="1"/>
  <c r="G6" i="30"/>
  <c r="G7" i="30"/>
  <c r="G8" i="30"/>
  <c r="G9" i="30"/>
  <c r="G10" i="30"/>
  <c r="G11" i="30"/>
  <c r="G12" i="30"/>
  <c r="G13" i="30"/>
  <c r="G14" i="30"/>
  <c r="G15" i="30"/>
  <c r="G16" i="30"/>
  <c r="G17" i="30"/>
  <c r="E18" i="30"/>
  <c r="F18" i="30"/>
  <c r="D18" i="30"/>
  <c r="G4" i="30"/>
  <c r="G3" i="30"/>
  <c r="G18" i="30" l="1"/>
  <c r="N12" i="27"/>
  <c r="O12" i="27"/>
  <c r="N13" i="27"/>
  <c r="O13" i="27"/>
  <c r="N14" i="27"/>
  <c r="O14" i="27"/>
  <c r="N15" i="27"/>
  <c r="O15" i="27"/>
  <c r="N16" i="27"/>
  <c r="O16" i="27"/>
  <c r="N17" i="27"/>
  <c r="O17" i="27"/>
  <c r="N18" i="27"/>
  <c r="O18" i="27"/>
  <c r="N19" i="27"/>
  <c r="O19" i="27"/>
  <c r="N20" i="27"/>
  <c r="O20" i="27"/>
  <c r="N21" i="27"/>
  <c r="O21" i="27"/>
  <c r="N22" i="27"/>
  <c r="O22" i="27"/>
  <c r="O6" i="27"/>
  <c r="O7" i="27"/>
  <c r="O8" i="27"/>
  <c r="O9" i="27"/>
  <c r="O10" i="27"/>
  <c r="O11" i="27"/>
  <c r="O5" i="27"/>
  <c r="N6" i="27"/>
  <c r="N7" i="27"/>
  <c r="N8" i="27"/>
  <c r="N9" i="27"/>
  <c r="N10" i="27"/>
  <c r="N11" i="27"/>
  <c r="N5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吾世伟</author>
  </authors>
  <commentList>
    <comment ref="C2" authorId="0" shapeId="0" xr:uid="{BB0E5460-3C3C-4931-892B-FD754995F65E}">
      <text>
        <r>
          <rPr>
            <b/>
            <sz val="9"/>
            <color indexed="81"/>
            <rFont val="宋体"/>
            <family val="3"/>
            <charset val="134"/>
          </rPr>
          <t>吾世伟:</t>
        </r>
        <r>
          <rPr>
            <sz val="9"/>
            <color indexed="81"/>
            <rFont val="宋体"/>
            <family val="3"/>
            <charset val="134"/>
          </rPr>
          <t xml:space="preserve">
颗粒度到功能点，例如“车速信号处理”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吾世伟</author>
  </authors>
  <commentList>
    <comment ref="B3" authorId="0" shapeId="0" xr:uid="{A0F46F7A-DFCB-4C35-85FD-4141CC260C7D}">
      <text>
        <r>
          <rPr>
            <b/>
            <sz val="9"/>
            <color indexed="81"/>
            <rFont val="宋体"/>
            <family val="3"/>
            <charset val="134"/>
          </rPr>
          <t>吾世伟:</t>
        </r>
        <r>
          <rPr>
            <sz val="9"/>
            <color indexed="81"/>
            <rFont val="宋体"/>
            <family val="3"/>
            <charset val="134"/>
          </rPr>
          <t xml:space="preserve">
需求测点总数，按最小颗粒度</t>
        </r>
      </text>
    </comment>
    <comment ref="B8" authorId="0" shapeId="0" xr:uid="{9D666923-343E-43D8-BAF3-EAA064892D6C}">
      <text>
        <r>
          <rPr>
            <b/>
            <sz val="9"/>
            <color indexed="81"/>
            <rFont val="宋体"/>
            <family val="3"/>
            <charset val="134"/>
          </rPr>
          <t>吾世伟:</t>
        </r>
        <r>
          <rPr>
            <sz val="9"/>
            <color indexed="81"/>
            <rFont val="宋体"/>
            <family val="3"/>
            <charset val="134"/>
          </rPr>
          <t xml:space="preserve">
选择用例的数目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</author>
  </authors>
  <commentList>
    <comment ref="C2" authorId="0" shapeId="0" xr:uid="{05D055F3-D637-40C1-BAAA-6CBFC276A9FB}">
      <text>
        <r>
          <rPr>
            <b/>
            <sz val="9"/>
            <color indexed="81"/>
            <rFont val="宋体"/>
            <family val="3"/>
            <charset val="134"/>
          </rPr>
          <t>SZ:</t>
        </r>
        <r>
          <rPr>
            <sz val="9"/>
            <color indexed="81"/>
            <rFont val="宋体"/>
            <family val="3"/>
            <charset val="134"/>
          </rPr>
          <t xml:space="preserve">
原因分析、测试回归、关闭</t>
        </r>
      </text>
    </comment>
    <comment ref="F2" authorId="0" shapeId="0" xr:uid="{E05146C4-51E4-42F2-B084-70417C7135A6}">
      <text>
        <r>
          <rPr>
            <b/>
            <sz val="9"/>
            <color indexed="81"/>
            <rFont val="宋体"/>
            <family val="3"/>
            <charset val="134"/>
          </rPr>
          <t>SZ:</t>
        </r>
        <r>
          <rPr>
            <sz val="9"/>
            <color indexed="81"/>
            <rFont val="宋体"/>
            <family val="3"/>
            <charset val="134"/>
          </rPr>
          <t xml:space="preserve">
填写正在测试的软件版本，详细至小版本号。</t>
        </r>
      </text>
    </comment>
    <comment ref="J2" authorId="0" shapeId="0" xr:uid="{B647B8B7-C3E1-4D15-A046-7FEA20EFAE9A}">
      <text>
        <r>
          <rPr>
            <b/>
            <sz val="9"/>
            <color indexed="81"/>
            <rFont val="宋体"/>
            <family val="3"/>
            <charset val="134"/>
          </rPr>
          <t>SZ:</t>
        </r>
        <r>
          <rPr>
            <sz val="9"/>
            <color indexed="81"/>
            <rFont val="宋体"/>
            <family val="3"/>
            <charset val="134"/>
          </rPr>
          <t xml:space="preserve">
详细至具体模块</t>
        </r>
      </text>
    </comment>
    <comment ref="K2" authorId="0" shapeId="0" xr:uid="{F66ED370-8AED-433B-8B66-6A1FC59B00B2}">
      <text>
        <r>
          <rPr>
            <b/>
            <sz val="9"/>
            <color indexed="81"/>
            <rFont val="宋体"/>
            <family val="3"/>
            <charset val="134"/>
          </rPr>
          <t>SZ:</t>
        </r>
        <r>
          <rPr>
            <sz val="9"/>
            <color indexed="81"/>
            <rFont val="宋体"/>
            <family val="3"/>
            <charset val="134"/>
          </rPr>
          <t xml:space="preserve">
BUG出现所在模块的负责人</t>
        </r>
      </text>
    </comment>
    <comment ref="L2" authorId="0" shapeId="0" xr:uid="{F1645DE8-4F7D-4C1D-B258-88BD52E021EC}">
      <text>
        <r>
          <rPr>
            <b/>
            <sz val="9"/>
            <color indexed="81"/>
            <rFont val="宋体"/>
            <family val="3"/>
            <charset val="134"/>
          </rPr>
          <t>SZ:</t>
        </r>
        <r>
          <rPr>
            <sz val="9"/>
            <color indexed="81"/>
            <rFont val="宋体"/>
            <family val="3"/>
            <charset val="134"/>
          </rPr>
          <t xml:space="preserve">
若问题状态为已解决则填写BUG修复时间，若为其他则不填写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吾世伟</author>
  </authors>
  <commentList>
    <comment ref="N20" authorId="0" shapeId="0" xr:uid="{799695D5-6096-4D5F-ADFE-7C62F5314219}">
      <text>
        <r>
          <rPr>
            <b/>
            <sz val="9"/>
            <color indexed="81"/>
            <rFont val="宋体"/>
            <family val="3"/>
            <charset val="134"/>
          </rPr>
          <t>吾世伟:</t>
        </r>
        <r>
          <rPr>
            <sz val="9"/>
            <color indexed="81"/>
            <rFont val="宋体"/>
            <family val="3"/>
            <charset val="134"/>
          </rPr>
          <t xml:space="preserve">
用例通过率=通过的用例数/选择的用例数*100%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吾世伟</author>
  </authors>
  <commentList>
    <comment ref="N20" authorId="0" shapeId="0" xr:uid="{7CD23D05-6D11-40C7-B48B-967C22E4AB66}">
      <text>
        <r>
          <rPr>
            <b/>
            <sz val="9"/>
            <color indexed="81"/>
            <rFont val="宋体"/>
            <family val="3"/>
            <charset val="134"/>
          </rPr>
          <t>吾世伟:</t>
        </r>
        <r>
          <rPr>
            <sz val="9"/>
            <color indexed="81"/>
            <rFont val="宋体"/>
            <family val="3"/>
            <charset val="134"/>
          </rPr>
          <t xml:space="preserve">
用例通过率=通过的用例数/选择的用例数*100%</t>
        </r>
      </text>
    </comment>
  </commentList>
</comments>
</file>

<file path=xl/sharedStrings.xml><?xml version="1.0" encoding="utf-8"?>
<sst xmlns="http://schemas.openxmlformats.org/spreadsheetml/2006/main" count="4104" uniqueCount="605">
  <si>
    <t xml:space="preserve">变更履历 </t>
    <rPh sb="0" eb="5">
      <t>yogj</t>
    </rPh>
    <phoneticPr fontId="6" type="noConversion"/>
  </si>
  <si>
    <t>版本</t>
    <phoneticPr fontId="6" type="noConversion"/>
  </si>
  <si>
    <t>日期</t>
    <phoneticPr fontId="6" type="noConversion"/>
  </si>
  <si>
    <t>作者</t>
    <rPh sb="0" eb="2">
      <t>wtft</t>
    </rPh>
    <phoneticPr fontId="6" type="noConversion"/>
  </si>
  <si>
    <t xml:space="preserve">审核 </t>
    <phoneticPr fontId="6" type="noConversion"/>
  </si>
  <si>
    <t>批准</t>
    <phoneticPr fontId="6" type="noConversion"/>
  </si>
  <si>
    <t>变更描述</t>
    <rPh sb="0" eb="4">
      <t>yogjrasy</t>
    </rPh>
    <phoneticPr fontId="6" type="noConversion"/>
  </si>
  <si>
    <t>测试用例选择</t>
    <phoneticPr fontId="11" type="noConversion"/>
  </si>
  <si>
    <t>测试用例
选择原则</t>
    <phoneticPr fontId="11" type="noConversion"/>
  </si>
  <si>
    <t>测试用例
设计方法</t>
    <phoneticPr fontId="11" type="noConversion"/>
  </si>
  <si>
    <t>V0.1</t>
    <phoneticPr fontId="6" type="noConversion"/>
  </si>
  <si>
    <t>软件版本</t>
  </si>
  <si>
    <t>工具信息</t>
  </si>
  <si>
    <t>名   称</t>
  </si>
  <si>
    <t>硬件型号</t>
  </si>
  <si>
    <t>硬件版本</t>
  </si>
  <si>
    <t>软件型号</t>
  </si>
  <si>
    <t>硬件仿真器</t>
  </si>
  <si>
    <t>软件仿真器</t>
  </si>
  <si>
    <t>软件编译器</t>
  </si>
  <si>
    <t>编程器</t>
  </si>
  <si>
    <t>软件工具</t>
  </si>
  <si>
    <t>网络工具</t>
  </si>
  <si>
    <t>负载工具</t>
  </si>
  <si>
    <t>电源工具</t>
  </si>
  <si>
    <t>基本工具</t>
  </si>
  <si>
    <t>专用工具</t>
  </si>
  <si>
    <t>其它工具</t>
  </si>
  <si>
    <t>问题状态</t>
  </si>
  <si>
    <t>Bug所在模块</t>
  </si>
  <si>
    <t>Bug责任人</t>
  </si>
  <si>
    <t>测试人员</t>
  </si>
  <si>
    <r>
      <rPr>
        <b/>
        <sz val="11"/>
        <rFont val="微软雅黑"/>
        <family val="2"/>
        <charset val="134"/>
      </rPr>
      <t>备注说明</t>
    </r>
    <r>
      <rPr>
        <b/>
        <sz val="11"/>
        <color rgb="FFFF0000"/>
        <rFont val="微软雅黑"/>
        <family val="2"/>
        <charset val="134"/>
      </rPr>
      <t>（问题原因，解决方案等)</t>
    </r>
  </si>
  <si>
    <t>BugID</t>
    <phoneticPr fontId="6" type="noConversion"/>
  </si>
  <si>
    <t>Bug现象描述</t>
    <phoneticPr fontId="6" type="noConversion"/>
  </si>
  <si>
    <t>Bug发现时间</t>
    <phoneticPr fontId="6" type="noConversion"/>
  </si>
  <si>
    <t>Bug解决时间</t>
    <phoneticPr fontId="6" type="noConversion"/>
  </si>
  <si>
    <t>Bug修复软件版本</t>
    <phoneticPr fontId="6" type="noConversion"/>
  </si>
  <si>
    <t>Bug软件版本</t>
    <phoneticPr fontId="6" type="noConversion"/>
  </si>
  <si>
    <t>描述</t>
    <phoneticPr fontId="6" type="noConversion"/>
  </si>
  <si>
    <t>测试用例
总数</t>
    <phoneticPr fontId="6" type="noConversion"/>
  </si>
  <si>
    <t>测试用例
执行数</t>
    <phoneticPr fontId="6" type="noConversion"/>
  </si>
  <si>
    <t>测试用例
通过数</t>
    <phoneticPr fontId="6" type="noConversion"/>
  </si>
  <si>
    <t>用例
执行率</t>
    <phoneticPr fontId="6" type="noConversion"/>
  </si>
  <si>
    <t>用例
通过率</t>
    <phoneticPr fontId="6" type="noConversion"/>
  </si>
  <si>
    <t>测试结论</t>
    <phoneticPr fontId="6" type="noConversion"/>
  </si>
  <si>
    <t>组件名</t>
    <phoneticPr fontId="6" type="noConversion"/>
  </si>
  <si>
    <t>综合结论</t>
    <phoneticPr fontId="6" type="noConversion"/>
  </si>
  <si>
    <t>备注</t>
    <phoneticPr fontId="6" type="noConversion"/>
  </si>
  <si>
    <t>目标</t>
    <phoneticPr fontId="6" type="noConversion"/>
  </si>
  <si>
    <t>-</t>
  </si>
  <si>
    <t>-</t>
    <phoneticPr fontId="6" type="noConversion"/>
  </si>
  <si>
    <t>Pass</t>
  </si>
  <si>
    <t>Pass</t>
    <phoneticPr fontId="6" type="noConversion"/>
  </si>
  <si>
    <t>Fail</t>
  </si>
  <si>
    <t>调整预期工时，规范工作交接流程</t>
  </si>
  <si>
    <t>严重度</t>
    <phoneticPr fontId="6" type="noConversion"/>
  </si>
  <si>
    <t>优先级</t>
    <phoneticPr fontId="6" type="noConversion"/>
  </si>
  <si>
    <t>工时差异</t>
    <phoneticPr fontId="6" type="noConversion"/>
  </si>
  <si>
    <t>工时偏差</t>
    <phoneticPr fontId="6" type="noConversion"/>
  </si>
  <si>
    <t>原因及解决方法</t>
    <phoneticPr fontId="6" type="noConversion"/>
  </si>
  <si>
    <t>计划工时
(hr)</t>
    <phoneticPr fontId="6" type="noConversion"/>
  </si>
  <si>
    <t>实际工时
（hr）</t>
    <phoneticPr fontId="6" type="noConversion"/>
  </si>
  <si>
    <t>总计</t>
    <phoneticPr fontId="6" type="noConversion"/>
  </si>
  <si>
    <t>致命问题</t>
    <phoneticPr fontId="6" type="noConversion"/>
  </si>
  <si>
    <t>重要问题</t>
    <phoneticPr fontId="6" type="noConversion"/>
  </si>
  <si>
    <t>中等问题</t>
    <phoneticPr fontId="6" type="noConversion"/>
  </si>
  <si>
    <t>轻微问题</t>
    <phoneticPr fontId="6" type="noConversion"/>
  </si>
  <si>
    <t>总数</t>
    <phoneticPr fontId="6" type="noConversion"/>
  </si>
  <si>
    <t>已关闭数</t>
    <phoneticPr fontId="6" type="noConversion"/>
  </si>
  <si>
    <t>未关闭数</t>
    <phoneticPr fontId="6" type="noConversion"/>
  </si>
  <si>
    <t>关闭率</t>
    <phoneticPr fontId="6" type="noConversion"/>
  </si>
  <si>
    <t>判定结果</t>
    <phoneticPr fontId="6" type="noConversion"/>
  </si>
  <si>
    <t>说明</t>
    <phoneticPr fontId="6" type="noConversion"/>
  </si>
  <si>
    <t>测试用例统计</t>
    <phoneticPr fontId="6" type="noConversion"/>
  </si>
  <si>
    <t>已执行数量</t>
    <phoneticPr fontId="6" type="noConversion"/>
  </si>
  <si>
    <t>测试通过数量</t>
    <phoneticPr fontId="6" type="noConversion"/>
  </si>
  <si>
    <t>用例总数</t>
    <phoneticPr fontId="6" type="noConversion"/>
  </si>
  <si>
    <t>用例执行率</t>
    <phoneticPr fontId="6" type="noConversion"/>
  </si>
  <si>
    <t>用例通过率</t>
    <phoneticPr fontId="6" type="noConversion"/>
  </si>
  <si>
    <t>问题统计</t>
    <phoneticPr fontId="6" type="noConversion"/>
  </si>
  <si>
    <t>测试对象：软件/系统信息</t>
    <phoneticPr fontId="6" type="noConversion"/>
  </si>
  <si>
    <t>组件/子系统
编号</t>
    <phoneticPr fontId="6" type="noConversion"/>
  </si>
  <si>
    <t>组件/子系统
版本</t>
    <phoneticPr fontId="6" type="noConversion"/>
  </si>
  <si>
    <t>组件/子系统
负责人</t>
    <phoneticPr fontId="6" type="noConversion"/>
  </si>
  <si>
    <t>测试用例</t>
    <phoneticPr fontId="6" type="noConversion"/>
  </si>
  <si>
    <t>测试用例
ID</t>
    <phoneticPr fontId="6" type="noConversion"/>
  </si>
  <si>
    <t>功能组</t>
    <phoneticPr fontId="6" type="noConversion"/>
  </si>
  <si>
    <t>项目编号：</t>
    <phoneticPr fontId="9" type="noConversion"/>
  </si>
  <si>
    <t>文件编号：</t>
    <phoneticPr fontId="9" type="noConversion"/>
  </si>
  <si>
    <t>版    本：</t>
    <phoneticPr fontId="6" type="noConversion"/>
  </si>
  <si>
    <t>Compliance with ASPICE, ISO 26262, ISO/SAE 21434 Standards</t>
    <phoneticPr fontId="9" type="noConversion"/>
  </si>
  <si>
    <r>
      <t>ASPICE-1/2/</t>
    </r>
    <r>
      <rPr>
        <sz val="12"/>
        <color rgb="FFFF0000"/>
        <rFont val="微软雅黑"/>
        <family val="2"/>
        <charset val="134"/>
      </rPr>
      <t>3</t>
    </r>
    <r>
      <rPr>
        <sz val="12"/>
        <rFont val="微软雅黑"/>
        <family val="2"/>
        <charset val="134"/>
      </rPr>
      <t>/4/5     ASIL-A/B/C/D      CAL-1/2/3/4</t>
    </r>
    <phoneticPr fontId="9" type="noConversion"/>
  </si>
  <si>
    <t>编制者</t>
    <phoneticPr fontId="6" type="noConversion"/>
  </si>
  <si>
    <t>审核者</t>
  </si>
  <si>
    <t>评审者</t>
  </si>
  <si>
    <t>批准者</t>
  </si>
  <si>
    <t>发出方</t>
  </si>
  <si>
    <t>接收方</t>
  </si>
  <si>
    <t xml:space="preserve">    技术部门      项目组 
    公司             客户     </t>
    <phoneticPr fontId="9" type="noConversion"/>
  </si>
  <si>
    <t>保密要求</t>
  </si>
  <si>
    <t xml:space="preserve">    绝密      机密      秘密</t>
    <phoneticPr fontId="9" type="noConversion"/>
  </si>
  <si>
    <t>格式要求</t>
  </si>
  <si>
    <t>电子版      签字扫描版</t>
    <phoneticPr fontId="9" type="noConversion"/>
  </si>
  <si>
    <t>当前状态</t>
  </si>
  <si>
    <t>草稿     基线     公布</t>
    <phoneticPr fontId="9" type="noConversion"/>
  </si>
  <si>
    <t>保存年限</t>
  </si>
  <si>
    <t>(车型寿命)N+3年</t>
    <phoneticPr fontId="9" type="noConversion"/>
  </si>
  <si>
    <t>被测项（需求，架构设计等）</t>
  </si>
  <si>
    <t>被测项
总数</t>
    <phoneticPr fontId="6" type="noConversion"/>
  </si>
  <si>
    <t>已测
被测项总数</t>
    <phoneticPr fontId="6" type="noConversion"/>
  </si>
  <si>
    <t>被测项测试
通过总数</t>
    <phoneticPr fontId="6" type="noConversion"/>
  </si>
  <si>
    <t>被测项
执行率</t>
    <phoneticPr fontId="6" type="noConversion"/>
  </si>
  <si>
    <t>被测项
通过率</t>
    <phoneticPr fontId="6" type="noConversion"/>
  </si>
  <si>
    <t>被测项测试统计</t>
    <phoneticPr fontId="6" type="noConversion"/>
  </si>
  <si>
    <t>被测项测试
通过总数</t>
    <phoneticPr fontId="6" type="noConversion"/>
  </si>
  <si>
    <t>已测
被测项总数</t>
    <phoneticPr fontId="6" type="noConversion"/>
  </si>
  <si>
    <t>被测项
测试执行率</t>
    <phoneticPr fontId="6" type="noConversion"/>
  </si>
  <si>
    <t>被测项
测试通过率</t>
    <phoneticPr fontId="6" type="noConversion"/>
  </si>
  <si>
    <t>LP-MCUA012-CA_V0.06.03_R_20250318测试报告</t>
    <rPh sb="0" eb="1">
      <t>aawt</t>
    </rPh>
    <rPh sb="2" eb="3">
      <t>jg</t>
    </rPh>
    <rPh sb="3" eb="4">
      <t>wdtheyyyif</t>
    </rPh>
    <phoneticPr fontId="9" type="noConversion"/>
  </si>
  <si>
    <t>吾世伟</t>
    <phoneticPr fontId="6" type="noConversion"/>
  </si>
  <si>
    <t>车珍</t>
    <phoneticPr fontId="6" type="noConversion"/>
  </si>
  <si>
    <t>V0.0</t>
    <phoneticPr fontId="6" type="noConversion"/>
  </si>
  <si>
    <t>V0.06.01_R_20250124</t>
    <phoneticPr fontId="6" type="noConversion"/>
  </si>
  <si>
    <t>武胜恩</t>
    <phoneticPr fontId="6" type="noConversion"/>
  </si>
  <si>
    <t>V0.06.03_R_20250318</t>
    <phoneticPr fontId="6" type="noConversion"/>
  </si>
  <si>
    <t>ZCANPRO</t>
    <phoneticPr fontId="6" type="noConversion"/>
  </si>
  <si>
    <t>NGI Power</t>
    <phoneticPr fontId="6" type="noConversion"/>
  </si>
  <si>
    <t>Dspace HIL</t>
    <phoneticPr fontId="6" type="noConversion"/>
  </si>
  <si>
    <t>用于观测及记录报文信息</t>
    <phoneticPr fontId="6" type="noConversion"/>
  </si>
  <si>
    <t>用于台架及控制器供电</t>
    <phoneticPr fontId="6" type="noConversion"/>
  </si>
  <si>
    <t>整车环境仿真</t>
    <phoneticPr fontId="6" type="noConversion"/>
  </si>
  <si>
    <t>未关闭说明</t>
    <phoneticPr fontId="6" type="noConversion"/>
  </si>
  <si>
    <t>1）满足测试结束准出条件，通过测试。根据发布准则，提交评审小组评审，经评审核定后，允许发布
2）不满足测试结束准出条件，测试不通过。
3）未关闭说明</t>
    <phoneticPr fontId="6" type="noConversion"/>
  </si>
  <si>
    <t>LS180DM1/T05海外</t>
    <phoneticPr fontId="6" type="noConversion"/>
  </si>
  <si>
    <t>LS00040</t>
    <phoneticPr fontId="6" type="noConversion"/>
  </si>
  <si>
    <t>LS-RD-LS180DM1-MVCU-SWE.6-001</t>
    <phoneticPr fontId="6" type="noConversion"/>
  </si>
  <si>
    <t>浙江凌昇</t>
    <phoneticPr fontId="6" type="noConversion"/>
  </si>
  <si>
    <t>车速信号处理</t>
  </si>
  <si>
    <t>制动踏板信号处理</t>
  </si>
  <si>
    <t>加速踏板信号处理</t>
  </si>
  <si>
    <t>高压互锁信号处理</t>
  </si>
  <si>
    <t>碰撞信号处理</t>
  </si>
  <si>
    <t>CAN信号滤波</t>
  </si>
  <si>
    <t>增程报文关联增程配置</t>
  </si>
  <si>
    <t>底盘信号预处理</t>
  </si>
  <si>
    <t>A05-MVCU 功能测试用例</t>
    <phoneticPr fontId="11" type="noConversion"/>
  </si>
  <si>
    <t>组件/装配</t>
    <phoneticPr fontId="11" type="noConversion"/>
  </si>
  <si>
    <t>软件版本</t>
    <phoneticPr fontId="11" type="noConversion"/>
  </si>
  <si>
    <t>项目名称</t>
    <phoneticPr fontId="11" type="noConversion"/>
  </si>
  <si>
    <t>硬件版本</t>
    <phoneticPr fontId="11" type="noConversion"/>
  </si>
  <si>
    <t>需求版本</t>
    <phoneticPr fontId="11" type="noConversion"/>
  </si>
  <si>
    <t>零件号</t>
    <phoneticPr fontId="11" type="noConversion"/>
  </si>
  <si>
    <t>测试人员</t>
    <phoneticPr fontId="11" type="noConversion"/>
  </si>
  <si>
    <t>测试时间</t>
    <phoneticPr fontId="11" type="noConversion"/>
  </si>
  <si>
    <t>开始日期</t>
    <phoneticPr fontId="11" type="noConversion"/>
  </si>
  <si>
    <t>结束日期</t>
    <phoneticPr fontId="11" type="noConversion"/>
  </si>
  <si>
    <t>总用例数</t>
    <phoneticPr fontId="11" type="noConversion"/>
  </si>
  <si>
    <t>通过的用例数</t>
    <phoneticPr fontId="11" type="noConversion"/>
  </si>
  <si>
    <t>失败的用例数</t>
    <phoneticPr fontId="11" type="noConversion"/>
  </si>
  <si>
    <t>未测试的用例数</t>
    <phoneticPr fontId="11" type="noConversion"/>
  </si>
  <si>
    <t>新增用例数</t>
    <phoneticPr fontId="11" type="noConversion"/>
  </si>
  <si>
    <t>用例-冒烟</t>
    <phoneticPr fontId="11" type="noConversion"/>
  </si>
  <si>
    <t>用例-高</t>
    <phoneticPr fontId="11" type="noConversion"/>
  </si>
  <si>
    <t>用例-中</t>
    <phoneticPr fontId="11" type="noConversion"/>
  </si>
  <si>
    <t>用例-低</t>
    <phoneticPr fontId="11" type="noConversion"/>
  </si>
  <si>
    <t>用例执行率</t>
    <phoneticPr fontId="11" type="noConversion"/>
  </si>
  <si>
    <t>测试用例ID</t>
    <phoneticPr fontId="11" type="noConversion"/>
  </si>
  <si>
    <t>被测项ID
（软件需求）</t>
    <phoneticPr fontId="11" type="noConversion"/>
  </si>
  <si>
    <t>测试方法类型</t>
    <phoneticPr fontId="11" type="noConversion"/>
  </si>
  <si>
    <t>用例描述</t>
    <phoneticPr fontId="11" type="noConversion"/>
  </si>
  <si>
    <t>优先级</t>
    <phoneticPr fontId="11" type="noConversion"/>
  </si>
  <si>
    <t>测试环境</t>
    <phoneticPr fontId="11" type="noConversion"/>
  </si>
  <si>
    <t>先决条件</t>
    <phoneticPr fontId="6" type="noConversion"/>
  </si>
  <si>
    <t>测试步骤</t>
    <phoneticPr fontId="11" type="noConversion"/>
  </si>
  <si>
    <t>报文ID</t>
    <phoneticPr fontId="6" type="noConversion"/>
  </si>
  <si>
    <t>期望结果</t>
  </si>
  <si>
    <t>结果</t>
    <phoneticPr fontId="11" type="noConversion"/>
  </si>
  <si>
    <t>实际结果及其他说明</t>
  </si>
  <si>
    <t>B10-MVCU-SP（Signal Pretreatment）
B10-MVCU-信号预处理</t>
  </si>
  <si>
    <t>依据“系统需求规格说明书”</t>
    <phoneticPr fontId="11" type="noConversion"/>
  </si>
  <si>
    <t>边界值
等效类
错误猜想
基于需求</t>
    <phoneticPr fontId="11" type="noConversion"/>
  </si>
  <si>
    <t>功能测试
故障诊断</t>
    <phoneticPr fontId="11" type="noConversion"/>
  </si>
  <si>
    <t>1.冒烟
2.高
3.中
4.低</t>
    <phoneticPr fontId="11" type="noConversion"/>
  </si>
  <si>
    <t>Manual
HIL
实车</t>
    <phoneticPr fontId="6" type="noConversion"/>
  </si>
  <si>
    <t>Yes
No</t>
    <phoneticPr fontId="11" type="noConversion"/>
  </si>
  <si>
    <t>变更
问题回归</t>
    <phoneticPr fontId="11" type="noConversion"/>
  </si>
  <si>
    <t>B.车速预处理-下线配置只开启后向驱动</t>
    <phoneticPr fontId="11" type="noConversion"/>
  </si>
  <si>
    <r>
      <t xml:space="preserve">ESC车速有效   </t>
    </r>
    <r>
      <rPr>
        <b/>
        <sz val="11"/>
        <color rgb="FFFF0000"/>
        <rFont val="宋体"/>
        <family val="3"/>
        <charset val="134"/>
      </rPr>
      <t>(ON3上电10s后，VCU_VehicleSpeedVD=0x2才能转化为VCU_VehicleSpeedVD=0x1)</t>
    </r>
    <phoneticPr fontId="11" type="noConversion"/>
  </si>
  <si>
    <t>B10-MVCU-SPB-001</t>
  </si>
  <si>
    <t>基于需求</t>
    <phoneticPr fontId="11" type="noConversion"/>
  </si>
  <si>
    <t>功能测试</t>
    <phoneticPr fontId="11" type="noConversion"/>
  </si>
  <si>
    <t>新增用例</t>
  </si>
  <si>
    <t>ON3上电&amp;&amp;D档&amp;&amp;ESC车速有效&amp;&amp;MCU转速有效--判断ESC车速有效</t>
    <phoneticPr fontId="11" type="noConversion"/>
  </si>
  <si>
    <t>冒烟</t>
  </si>
  <si>
    <t>HIL</t>
  </si>
  <si>
    <t>车速=转速*0.033*R
转速=车速/0.033/R</t>
    <phoneticPr fontId="11" type="noConversion"/>
  </si>
  <si>
    <t>B10轮胎半径0.337m传动比12.519时，大概车速km/h的100倍为电机转速rpm</t>
    <phoneticPr fontId="6" type="noConversion"/>
  </si>
  <si>
    <t>N</t>
  </si>
  <si>
    <t>步骤</t>
  </si>
  <si>
    <t>1.初始化状态正常</t>
    <phoneticPr fontId="11" type="noConversion"/>
  </si>
  <si>
    <t>ON1上电</t>
    <phoneticPr fontId="11" type="noConversion"/>
  </si>
  <si>
    <t>检测C_CAN的VCU$B7报文中</t>
    <phoneticPr fontId="6" type="noConversion"/>
  </si>
  <si>
    <t>VCU_VehicleSpeedVD=0x2,MCU车速有效</t>
    <phoneticPr fontId="6" type="noConversion"/>
  </si>
  <si>
    <t>检测P_CAN的VCU$13B报文中</t>
    <phoneticPr fontId="6" type="noConversion"/>
  </si>
  <si>
    <t>VCU_VehicleDirect=0x0，Forward</t>
    <phoneticPr fontId="11" type="noConversion"/>
  </si>
  <si>
    <t>检测P_CAN的VCU$BC报文中</t>
  </si>
  <si>
    <t>VCU_VehicleSpdDirect=0km/h</t>
    <phoneticPr fontId="6" type="noConversion"/>
  </si>
  <si>
    <t>ON2上电</t>
    <phoneticPr fontId="11" type="noConversion"/>
  </si>
  <si>
    <t>1.ON3上电，档位设置为D档
2.设置C_CAN的IBC$182报文中的IBC_VehicleSpeedVD=0，有效；
3.设置IBC_VehicleSpeed=5km/h；
4.设置P_CAN的MCU$CA报文中MCU_DrvMotorRPM=496rpm
(电机转速走模型开环控制)</t>
  </si>
  <si>
    <t>VCU_VehicleSpeedVD=0x1,ESC车速有效</t>
    <phoneticPr fontId="6" type="noConversion"/>
  </si>
  <si>
    <t>VCU_VehicleDirect=0x0</t>
    <phoneticPr fontId="11" type="noConversion"/>
  </si>
  <si>
    <t>VCU_VehicleSpdDirect=5km/h</t>
  </si>
  <si>
    <t>B10-MVCU-SPB-001-1</t>
  </si>
  <si>
    <t>子用例</t>
  </si>
  <si>
    <t>ESC车速无效--判断MCU转速有效</t>
    <phoneticPr fontId="11" type="noConversion"/>
  </si>
  <si>
    <t>高</t>
  </si>
  <si>
    <t>执行完用例B10-MVCU-SPB-001之后</t>
  </si>
  <si>
    <t>设置C_CAN的IBC$182报文中的IBC_VehicleSpeedVD=1；无效；</t>
  </si>
  <si>
    <t>检测C_CAN的VCU$B7报文中</t>
  </si>
  <si>
    <t>VCU_VehicleSpeedVD=0x2,MCU转速有效</t>
    <phoneticPr fontId="6" type="noConversion"/>
  </si>
  <si>
    <t>B10-MVCU-SPB-001-2</t>
  </si>
  <si>
    <t>边界值</t>
    <phoneticPr fontId="11" type="noConversion"/>
  </si>
  <si>
    <t>ESC车速小于1Km/h--判断ESC有效</t>
    <phoneticPr fontId="11" type="noConversion"/>
  </si>
  <si>
    <t>1.设置IBC_VehicleSpeed=0.5km/h；
2.设置P_CAN的MCU$CA报文中MCU_DrvMotorRPM=200rpm</t>
  </si>
  <si>
    <t>VCU_VehicleSpeedVD=0x1,ESC转速有效</t>
    <phoneticPr fontId="6" type="noConversion"/>
  </si>
  <si>
    <t>VCU_VehicleSpdDirect=2km/h</t>
    <phoneticPr fontId="6" type="noConversion"/>
  </si>
  <si>
    <t>B10-MVCU-SPB-001-3</t>
  </si>
  <si>
    <t>ON3下电--判断MCU转速有效</t>
    <phoneticPr fontId="11" type="noConversion"/>
  </si>
  <si>
    <t>ON3下电</t>
    <phoneticPr fontId="11" type="noConversion"/>
  </si>
  <si>
    <t>B10-MVCU-SPB-002</t>
  </si>
  <si>
    <t>用例</t>
  </si>
  <si>
    <t>ON3上电&amp;&amp;ESC车速有效&amp;&amp;MCU转速值无效--判断ESC车速有效</t>
    <phoneticPr fontId="11" type="noConversion"/>
  </si>
  <si>
    <t>中</t>
  </si>
  <si>
    <t>MCU转速无效看旋变故障</t>
    <phoneticPr fontId="6" type="noConversion"/>
  </si>
  <si>
    <t>1.初始化状态正常，
2.ON3上电，档位设置为D档</t>
    <phoneticPr fontId="11" type="noConversion"/>
  </si>
  <si>
    <t>1.设置C_CAN的IBC$182报文中的IBC_VehicleSpeedVD=0；有效；
2.设置IBC_VehicleSpeed=5km/h；
3.设置P_CAN的MCU$CA报文中MCU_DrvMotorRPM=48535rpm=0xFFFF</t>
  </si>
  <si>
    <t>B10-MVCU-SPB-002-1</t>
  </si>
  <si>
    <t>ESC车速无效--判断车速无效</t>
    <phoneticPr fontId="11" type="noConversion"/>
  </si>
  <si>
    <t>执行完用例B10-MVCU-SPB-002之后</t>
  </si>
  <si>
    <t>VCU_VehicleSpeedVD=0x0,车速无效</t>
    <phoneticPr fontId="6" type="noConversion"/>
  </si>
  <si>
    <t>VCU_VehicleSpdDirect=255km/h</t>
    <phoneticPr fontId="6" type="noConversion"/>
  </si>
  <si>
    <t>B10-MVCU-SPB-003</t>
  </si>
  <si>
    <t>ON3上电&amp;&amp;ESC车速有效且为195km/h&amp;&amp;MCU转速值无效--判断ESC车速有效</t>
    <phoneticPr fontId="11" type="noConversion"/>
  </si>
  <si>
    <t>1.设置C_CAN的IBC$182报文中的IBC_VehicleSpeedVD=0；有效；
2.设置IBC_VehicleSpeed=195km/h；
3.设置P_CAN的MCU$CA报文中MCU_DrvMotorRPM=48535rpm=0xFFFF</t>
  </si>
  <si>
    <t>VCU_VehicleSpdDirect=195km/h</t>
    <phoneticPr fontId="6" type="noConversion"/>
  </si>
  <si>
    <t>B10-MVCU-SPB-004</t>
  </si>
  <si>
    <t>ON3上电&amp;&amp;ESC车速有效且为0km/h&amp;&amp;MCU转速值无效--判断ESC车速有效</t>
    <phoneticPr fontId="11" type="noConversion"/>
  </si>
  <si>
    <t>1.设置C_CAN的IBC$182报文中的IBC_VehicleSpeedVD=0；有效；
2.设置IBC_VehicleSpeed=0km/h；
3.设置P_CAN的MCU$CA报文中MCU_DrvMotorRPM=48535rpm=0xFFFF</t>
  </si>
  <si>
    <t>B10-MVCU-SPB-005</t>
  </si>
  <si>
    <t>ON3上电&amp;&amp;R档&amp;&amp;ESC车速有效&amp;&amp;MCU转速有效--判断ESC车速有效</t>
    <phoneticPr fontId="11" type="noConversion"/>
  </si>
  <si>
    <t>跟档位有关，按照驱动方向，D档向前是正，R档向后是负</t>
    <phoneticPr fontId="6" type="noConversion"/>
  </si>
  <si>
    <t>1.初始化状态正常，
2.ON3上电，档位设置为R档</t>
    <phoneticPr fontId="11" type="noConversion"/>
  </si>
  <si>
    <t>1.设置C_CAN的IBC$182报文中的IBC_VehicleSpeedVD=0；有效；
2.设置IBC_VehicleSpeed=25km/h；
3.设置P_CAN的MCU$CA报文中MCU_DrvMotorRPM=2465rpm</t>
  </si>
  <si>
    <t>VCU_VehicleDirect=0x1</t>
    <phoneticPr fontId="11" type="noConversion"/>
  </si>
  <si>
    <t>VCU_VehicleSpdDirect=25km/h</t>
    <phoneticPr fontId="6" type="noConversion"/>
  </si>
  <si>
    <t>B10-MVCU-SPB-006</t>
  </si>
  <si>
    <t>ON3上电&amp;&amp;N档&amp;&amp;ESC车速有效&amp;&amp;MCU转速有效--判断ESC车速有效</t>
    <phoneticPr fontId="11" type="noConversion"/>
  </si>
  <si>
    <t>1.初始化状态正常，
2.ON3上电，档位设置为N档</t>
    <phoneticPr fontId="11" type="noConversion"/>
  </si>
  <si>
    <t>B10-MVCU-SPB-007</t>
  </si>
  <si>
    <t>ON3上电&amp;&amp;D档&amp;&amp;ESC车速有效&amp;&amp;MCU转速有效&amp;&amp;ESC计算车速小于MCU计算车速--判断ESC车速有效</t>
    <phoneticPr fontId="11" type="noConversion"/>
  </si>
  <si>
    <t>1.设置C_CAN的IBC$182报文中的IBC_VehicleSpeedVD=0；有效；
2.设置IBC_VehicleSpeed=25km/h；
3.设置P_CAN的MCU$CA报文中MCU_DrvMotorRPM=4960rpm，换算车速50km/h</t>
  </si>
  <si>
    <t>B10-MVCU-SPB-008</t>
  </si>
  <si>
    <t>ON3上电&amp;&amp;D档&amp;&amp;ESC车速有效&amp;&amp;MCU转速有效&amp;&amp;ESC计算车速大于MCU计算车速--判断ESC车速有效</t>
    <phoneticPr fontId="11" type="noConversion"/>
  </si>
  <si>
    <t>1.设置C_CAN的IBC$182报文中的IBC_VehicleSpeedVD=0；有效；
2.设置IBC_VehicleSpeed=5km/h；
3.设置P_CAN的MCU$CA报文中MCU_DrvMotorRPM=247rpm，换算车速2.5km/h</t>
  </si>
  <si>
    <t>B10-MVCU-SPB-009</t>
  </si>
  <si>
    <t>ON3上电&amp;&amp;IBC$227通信丢失&amp;&amp;ESC车速有效且为50km/h&amp;&amp;MCU转速有效--判断MCU转速有效</t>
    <phoneticPr fontId="6" type="noConversion"/>
  </si>
  <si>
    <t>其它ESC通信丢失</t>
    <phoneticPr fontId="11" type="noConversion"/>
  </si>
  <si>
    <t>1.设置C_CAN的IBC&amp;227报文通信丢失
2.设置C_CAN的IBC$182报文中的IBC_VehicleSpeedVD=0；有效；
3.设置IBC_VehicleSpeed=50km/h；
4.设置P_CAN的MCU$CA报文中MCU_DrvMotorRPM=0rpm</t>
  </si>
  <si>
    <t>检测P_CAN的$600报文中</t>
    <phoneticPr fontId="11" type="noConversion"/>
  </si>
  <si>
    <t>GW_ESCI_MissMsg=1</t>
  </si>
  <si>
    <t>B10-MVCU-SPB-010</t>
  </si>
  <si>
    <t>ON3上电&amp;&amp;IBC$0B1通信丢失&amp;&amp;ESC车速有效且为50km/h&amp;&amp;MCU转速有效--判断MCU转速有效</t>
    <phoneticPr fontId="11" type="noConversion"/>
  </si>
  <si>
    <t>1.设置C_CAN的IBC&amp;0B1报文通信丢失
2.设置C_CAN的IBC$182报文中的IBC_VehicleSpeedVD=0；有效；
3.设置IBC_VehicleSpeed=50km/h；
4.设置P_CAN的MCU$CA报文中MCU_DrvMotorRPM=0rpm</t>
  </si>
  <si>
    <t>B10-MVCU-SPB-010-01</t>
  </si>
  <si>
    <r>
      <t>IBC$0B1通信恢复--</t>
    </r>
    <r>
      <rPr>
        <sz val="11"/>
        <color rgb="FFFF0000"/>
        <rFont val="宋体"/>
        <family val="3"/>
        <charset val="134"/>
      </rPr>
      <t>10秒后</t>
    </r>
    <r>
      <rPr>
        <sz val="11"/>
        <color theme="1"/>
        <rFont val="宋体"/>
        <family val="3"/>
        <charset val="134"/>
      </rPr>
      <t>判断ESC车速有效</t>
    </r>
    <phoneticPr fontId="11" type="noConversion"/>
  </si>
  <si>
    <t>执行完用例B10-MVCU-SPB-010之后</t>
  </si>
  <si>
    <t>ESC通信恢复</t>
    <phoneticPr fontId="11" type="noConversion"/>
  </si>
  <si>
    <t>10秒内VCU_VehicleSpeedVD=0x2,MCU转速有效</t>
    <phoneticPr fontId="6" type="noConversion"/>
  </si>
  <si>
    <t>10秒后VCU_VehicleSpeedVD=0x1,ESC车速有效</t>
    <phoneticPr fontId="6" type="noConversion"/>
  </si>
  <si>
    <t>B10-MVCU-SPB-010-02</t>
  </si>
  <si>
    <t>子-子用例</t>
    <phoneticPr fontId="6" type="noConversion"/>
  </si>
  <si>
    <t>10秒内IBC$0B1通信恢复后又丢失--判断MCU转速有效</t>
    <phoneticPr fontId="11" type="noConversion"/>
  </si>
  <si>
    <t>低</t>
  </si>
  <si>
    <t>10秒内ESC通信恢复</t>
    <phoneticPr fontId="11" type="noConversion"/>
  </si>
  <si>
    <t>10内ESC通信再次丢失</t>
    <phoneticPr fontId="11" type="noConversion"/>
  </si>
  <si>
    <t>10秒内和10秒后VCU_VehicleSpeedVD=0x2,MCU转速有效</t>
    <phoneticPr fontId="6" type="noConversion"/>
  </si>
  <si>
    <t>B10-MVCU-SPB-012</t>
  </si>
  <si>
    <t>ON3上电&amp;&amp;IBC$186通信丢失&amp;&amp;ESC车速有效且为50km/h&amp;&amp;MCU转速有效--判断MCU转速有效</t>
    <phoneticPr fontId="11" type="noConversion"/>
  </si>
  <si>
    <t>1.设置C_CAN的IBC&amp;186报文通信丢失
2.设置C_CAN的IBC$182报文中的IBC_VehicleSpeedVD=0；有效；
3.设置IBC_VehicleSpeed=50km/h；
4.设置P_CAN的MCU$CA报文中MCU_DrvMotorRPM=0rpm</t>
  </si>
  <si>
    <t>检测P_CAN的VCU$13B报文中</t>
  </si>
  <si>
    <t>GW_ESCI_MissMsg=1</t>
    <phoneticPr fontId="6" type="noConversion"/>
  </si>
  <si>
    <t>B10-MVCU-SPB-013</t>
  </si>
  <si>
    <t>ON3上电&amp;&amp;IBC$184通信丢失&amp;&amp;ESC车速有效且为50km/h&amp;&amp;MCU转速有效--判断MCU转速有效</t>
    <phoneticPr fontId="6" type="noConversion"/>
  </si>
  <si>
    <t>1.设置C_CAN的IBC&amp;184报文通信丢失
2.设置C_CAN的IBC$182报文中的IBC_VehicleSpeedVD=0；有效；
3.设置IBC_VehicleSpeed=50km/h；
4.设置P_CAN的MCU$CA报文中MCU_DrvMotorRPM=0rpm</t>
  </si>
  <si>
    <t>B10-MVCU-SPB-014</t>
  </si>
  <si>
    <t>ON3上电&amp;&amp;IBC$185通信丢失&amp;&amp;ESC车速有效且为50km/h&amp;&amp;MCU转速有效--判断MCU转速有效</t>
    <phoneticPr fontId="11" type="noConversion"/>
  </si>
  <si>
    <t>1.设置C_CAN的IBC&amp;185报文通信丢失
2.设置C_CAN的IBC$182报文中的IBC_VehicleSpeedVD=0；有效；
3.设置IBC_VehicleSpeed=50km/h；
4.设置P_CAN的MCU$CA报文中MCU_DrvMotorRPM=0rpm</t>
  </si>
  <si>
    <t>B10-MVCU-SPB-015</t>
  </si>
  <si>
    <t>ON3上电&amp;&amp;ACU$233通信丢失&amp;&amp;ESC车速有效且为50km/h&amp;&amp;MCU转速有效--判断ESC转速有效</t>
    <phoneticPr fontId="11" type="noConversion"/>
  </si>
  <si>
    <t>B10项目$233变更为ACU节点报文</t>
  </si>
  <si>
    <t>1.设置C_CAN的ACU&amp;233报文通信丢失
2.设置C_CAN的IBC$182报文中的IBC_VehicleSpeedVD=0；有效；
3.设置IBC_VehicleSpeed=50km/h；
4.设置P_CAN的MCU$CA报文中MCU_DrvMotorRPM=0rpm</t>
  </si>
  <si>
    <t>VCU_VehicleSpdDirect=50km/h</t>
    <phoneticPr fontId="6" type="noConversion"/>
  </si>
  <si>
    <t>B10-MVCU-SPB-016</t>
  </si>
  <si>
    <t>ON3上电&amp;&amp;IBC$182生命信号错误&amp;&amp;ESC车速有效且为50km/h&amp;&amp;MCU转速有效--判断ESC车速有效</t>
    <phoneticPr fontId="6" type="noConversion"/>
  </si>
  <si>
    <t>IBC生命信号错误不算通讯故障</t>
    <phoneticPr fontId="11" type="noConversion"/>
  </si>
  <si>
    <t>1.设置C_CAN的IBC&amp;182生命信号错误
2.设置C_CAN的IBC$182报文中的IBC_VehicleSpeedVD=0；有效；
3.设置IBC_VehicleSpeed=50km/h；
4.设置P_CAN的MCU$CA报文中MCU_DrvMotorRPM=0rpm</t>
  </si>
  <si>
    <t>GW_ESCI_RollCntErr=1</t>
    <phoneticPr fontId="6" type="noConversion"/>
  </si>
  <si>
    <t>B10-MVCU-SPB-017</t>
  </si>
  <si>
    <t>ON3上电&amp;&amp;IBC$182校验信号错误&amp;&amp;ESC车速有效且为50km/h&amp;&amp;MCU转速有效--判断MCU转速有效</t>
  </si>
  <si>
    <t>1.设置C_CAN的IBC&amp;182校验信号错误
2.设置C_CAN的IBC$182报文中的IBC_VehicleSpeedVD=0；有效；
3.设置IBC_VehicleSpeed=50km/h；
4.设置P_CAN的MCU$CA报文中MCU_DrvMotorRPM=0rpm</t>
  </si>
  <si>
    <t>GW_ESCI_ChkSumErr=1</t>
    <phoneticPr fontId="6" type="noConversion"/>
  </si>
  <si>
    <t>B10-MVCU-SPB-018</t>
  </si>
  <si>
    <t>ON3上电&amp;&amp;ESC车速有效且为195km/h&amp;&amp;MCU$CA通信丢失--判断ESC车速有效</t>
  </si>
  <si>
    <t>1.设置C_CAN的IBC$182报文中的IBC_VehicleSpeedVD=0；有效；
2.设置IBC_VehicleSpeed=195km/h；
3.设置P_CAN的MCU$CA报文通信丢失</t>
  </si>
  <si>
    <t>C_CAN的HPC$0B6和P_CANHPCP_CAN$13B</t>
  </si>
  <si>
    <t>MCU车速有效</t>
    <phoneticPr fontId="11" type="noConversion"/>
  </si>
  <si>
    <t>ON3上电&amp;&amp;ESC车速无效&amp;&amp;MCU车速有效--判断MCU转速有效</t>
    <phoneticPr fontId="11" type="noConversion"/>
  </si>
  <si>
    <t>1.ON3上电，档位设置为D档
2.设置C_CAN的IBC$182报文中的IBC_VehicleSpeedVD=1；无效；
3.设置IBC_VehicleSpeed=20km/h；
4.设置P_CAN的MCU$CA报文中MCU_DrvMotorRPM=496rpm</t>
  </si>
  <si>
    <t>B10-MVCU-SPB-030-1</t>
  </si>
  <si>
    <t>ESC车速有效-10s后判断ESC车速有效</t>
    <phoneticPr fontId="11" type="noConversion"/>
  </si>
  <si>
    <t>执行完B10-MVCU-SPB-030用例之后</t>
  </si>
  <si>
    <t>设置C_CAN的IBC$182报文中的IBC_VehicleSpeedVD=0；有效；</t>
  </si>
  <si>
    <t>10秒内，VCU_VehicleSpeedVD=0x2,MCU车速有效</t>
    <phoneticPr fontId="6" type="noConversion"/>
  </si>
  <si>
    <t>10秒后，VCU_VehicleSpeedVD=0x1,ESC车速有效</t>
    <phoneticPr fontId="6" type="noConversion"/>
  </si>
  <si>
    <t>VCU_VehicleDirect=0x0</t>
    <phoneticPr fontId="6" type="noConversion"/>
  </si>
  <si>
    <t>10s内VCU_VehicleSpdDirect=5km/h；10s后VCU_VehicleSpdDirect=20km/h</t>
    <phoneticPr fontId="6" type="noConversion"/>
  </si>
  <si>
    <t>B10-MVCU-SPB-031</t>
  </si>
  <si>
    <t>ON3上电&amp;&amp;ESC车速值无效&amp;&amp;MCU车速有效--判断MCU转速有效</t>
    <phoneticPr fontId="11" type="noConversion"/>
  </si>
  <si>
    <t>初始化状态正常</t>
    <phoneticPr fontId="11" type="noConversion"/>
  </si>
  <si>
    <t>1.ON3上电，档位设置为D档
2.设置C_CAN的IBC$182报文中的IBC_VehicleSpeedVD=0；有效；
3.设置IBC_VehicleSpeed=0xffff=655.35km/h；
4.设置P_CAN的MCU$CA报文中MCU_DrvMotorRPM=496rpm</t>
  </si>
  <si>
    <t>MCU转速值无效-判断车速无效</t>
    <phoneticPr fontId="11" type="noConversion"/>
  </si>
  <si>
    <t>设置P_CAN的MCU$CA报文中MCU_DrvMotorRPM=48535rpm=0xFFFF</t>
  </si>
  <si>
    <t>VCU_VehicleSpdDirect=256km/h（FF）</t>
    <phoneticPr fontId="6" type="noConversion"/>
  </si>
  <si>
    <t>B10-MVCU-SPB-032</t>
  </si>
  <si>
    <t>ON3上电&amp;&amp;ESC车速值≥200km/h&amp;&amp;MCU车速有效--判断ESC转速有效</t>
    <phoneticPr fontId="11" type="noConversion"/>
  </si>
  <si>
    <t>取消最大值限制</t>
    <phoneticPr fontId="6" type="noConversion"/>
  </si>
  <si>
    <t>初始换状态正常</t>
    <phoneticPr fontId="11" type="noConversion"/>
  </si>
  <si>
    <t>1.ON3上电，档位设置为D档
2.设置C_CAN的IBC$182报文中的IBC_VehicleSpeedVD=0；有效；
3.设置IBC_VehicleSpeed=195km/h；
4.设置P_CAN的MCU$CA报文中MCU_DrvMotorRPM=496rpm</t>
  </si>
  <si>
    <t>VCU_VehicleSpdDirect=195km/h</t>
    <phoneticPr fontId="11" type="noConversion"/>
  </si>
  <si>
    <t>1.设置IBC_VehicleSpeed=205km/h；</t>
  </si>
  <si>
    <t>VCU_VehicleSpdDirect=205km/h</t>
    <phoneticPr fontId="11" type="noConversion"/>
  </si>
  <si>
    <t>B10-MVCU-SPB-033</t>
  </si>
  <si>
    <t>ON3上电&amp;&amp;IBC$182报文通信丢失&amp;&amp;MCU车速有效--判断MCU转速有效</t>
  </si>
  <si>
    <t>1.ON3上电，档位设置为D档
2.设置C_CAN的IBC$182报文通信丢失
3.设置P_CAN的MCU$CA报文中MCU_DrvMotorRPM=496rpm</t>
  </si>
  <si>
    <t>B10-MVCU-SPB-034</t>
  </si>
  <si>
    <t>ON3上电&amp;&amp;ESC车速无效&amp;&amp;MCU车速有效且电机转速为最大值--判断MCU转速有效</t>
    <phoneticPr fontId="11" type="noConversion"/>
  </si>
  <si>
    <t>现在最大值转速30000</t>
    <phoneticPr fontId="6" type="noConversion"/>
  </si>
  <si>
    <t>1.ON3上电，档位设置为D档
2.设置C_CAN的IBC$182报文中的IBC_VehicleSpeedVD=1；无效；
3.设置IBC_VehicleSpeed=5km/h；
4.设置P_CAN的MCU$CA报文中MCU_DrvMotorRPM=17000rpm</t>
  </si>
  <si>
    <t>VCU_VehicleSpdDirect=17000*0.033*0.337=172km/h</t>
    <phoneticPr fontId="6" type="noConversion"/>
  </si>
  <si>
    <t>B10-MVCU-SPB-035</t>
  </si>
  <si>
    <t>ON3上电&amp;&amp;ESC车速无效&amp;&amp;MCU车速有效且电机转速为最小值--判断MCU转速有效</t>
    <phoneticPr fontId="11" type="noConversion"/>
  </si>
  <si>
    <t>1.ON3上电，档位设置为D档
2.设置C_CAN的IBC$182报文中的IBC_VehicleSpeedVD=1；无效；
3.设置IBC_VehicleSpeed=5km/h；
4.设置P_CAN的MCU$CA报文中MCU_DrvMotorRPM=-17000rpm</t>
  </si>
  <si>
    <t>VCU_VehicleSpdDirect=-17000*0.033*0.359=-172km/h</t>
    <phoneticPr fontId="6" type="noConversion"/>
  </si>
  <si>
    <t>车速无效</t>
    <phoneticPr fontId="11" type="noConversion"/>
  </si>
  <si>
    <t>B10-MVCU-SPB-050</t>
  </si>
  <si>
    <t>ON2上电&amp;&amp;MCU转速值无效--判断车速无效</t>
    <phoneticPr fontId="11" type="noConversion"/>
  </si>
  <si>
    <t>转速无效看旋变故障</t>
    <phoneticPr fontId="6" type="noConversion"/>
  </si>
  <si>
    <t>初始化状态正常，ON2上电</t>
    <phoneticPr fontId="11" type="noConversion"/>
  </si>
  <si>
    <t>B10-MVCU-SPB-050-1</t>
  </si>
  <si>
    <t>MCU转速值为0rpm--判断MCU转速有效</t>
    <phoneticPr fontId="11" type="noConversion"/>
  </si>
  <si>
    <t>执行完用例B10-MVCU-SPB-050之后</t>
  </si>
  <si>
    <t>设置P_CAN的MCU$CA报文中MCU_DrvMotorRPM=0rpm</t>
  </si>
  <si>
    <t>B10-MVCU-SPB-051</t>
  </si>
  <si>
    <t>ON3上电&amp;&amp;ESC车速无效&amp;&amp;MCU电机旋变故障--判断车速无效</t>
    <phoneticPr fontId="11" type="noConversion"/>
  </si>
  <si>
    <t>初始化状态正常，ON3上电</t>
    <phoneticPr fontId="11" type="noConversion"/>
  </si>
  <si>
    <t>1.设置C_CAN的IBC$182报文中的IBC_VehicleSpeedVD=1；无效；
2.设置IBC_VehicleSpeed=0km/h；
3.设置P_CAN的MCU$CA报文中MCUM_HWRdcFault=0x1,Error</t>
    <phoneticPr fontId="6" type="noConversion"/>
  </si>
  <si>
    <t>B10-MVCU-SPB-051-01</t>
  </si>
  <si>
    <t>ESC车速有效--判断ESC车速有效</t>
    <phoneticPr fontId="11" type="noConversion"/>
  </si>
  <si>
    <t>执行完用例B10-MVCU-SPB-051之后</t>
  </si>
  <si>
    <t>B10-MVCU-SPB-052</t>
  </si>
  <si>
    <t>ON3上电&amp;&amp;ESC车速值无效&amp;&amp;MCU电机旋变故障--判断车速无效</t>
    <phoneticPr fontId="11" type="noConversion"/>
  </si>
  <si>
    <t>1.设置C_CAN的IBC$182报文中的IBC_VehicleSpeedVD=0；有效；
2.设置IBC_VehicleSpeed=0xFFFF=655.35km/h；
3.设置P_CAN的MCU$CA报文中MCUM_HWRdcFault=0x1,Error</t>
    <phoneticPr fontId="6" type="noConversion"/>
  </si>
  <si>
    <t>B10-MVCU-SPB-053</t>
  </si>
  <si>
    <t>ON3上电&amp;&amp;ESC车速值≥200Km/h&amp;&amp;MCU电机旋变故障--判断ESC车速有效</t>
    <phoneticPr fontId="11" type="noConversion"/>
  </si>
  <si>
    <t>1.设置C_CAN的IBC$182报文中的IBC_VehicleSpeedVD=0；有效；
2.设置IBC_VehicleSpeed=205km/h；
3.设置P_CAN的MCU$CA报文中MCUM_HWRdcFault=0x1,Error</t>
    <phoneticPr fontId="6" type="noConversion"/>
  </si>
  <si>
    <t>VCU_VehicleSpdDirect=205km/h</t>
    <phoneticPr fontId="6" type="noConversion"/>
  </si>
  <si>
    <t>B10-MVCU-SPB-054</t>
  </si>
  <si>
    <t>ON3上电&amp;&amp;IBC$182通信丢失&amp;&amp;MCU电机旋变故障--判断车速无效</t>
    <phoneticPr fontId="6" type="noConversion"/>
  </si>
  <si>
    <t>1.设置C_CAN的IBC$182通信丢失；
2.设置P_CAN的MCU$CA报文中MCUM_HWRdcFault=0x1,Error</t>
    <phoneticPr fontId="6" type="noConversion"/>
  </si>
  <si>
    <t>B10-MVCU-SPB-055</t>
  </si>
  <si>
    <t>ON3上电&amp;&amp;ESC车速无效&amp;&amp;MCU值为0rpm&amp;&amp;MCU$CA通信丢失--判断车速无效</t>
    <phoneticPr fontId="11" type="noConversion"/>
  </si>
  <si>
    <t>1.设置C_CAN的IBC$182报文中的IBC_VehicleSpeedVD=1；无效；
2.设置IBC_VehicleSpeed=0km/h；
3.设置P_CAN的MCU$CA报文中MCU_DrvMotorRPM=0rpm
3.设置P_CAN的MCU$CA的通信丢失</t>
  </si>
  <si>
    <t>B10-MVCU-SPB-056</t>
  </si>
  <si>
    <t>ON3上电&amp;&amp;ESC车速无效&amp;&amp;MCU值为0rpm&amp;&amp;MCU$CA生命信号错误--判断车速无效</t>
  </si>
  <si>
    <t>1.设置C_CAN的IBC$182报文中的IBC_VehicleSpeedVD=1；无效；
2.设置IBC_VehicleSpeed=0km/h；
3.设置P_CAN的MCU$CA报文中MCU_DrvMotorRPM=0rpm
3.设置P_CAN的MCU$CA的生命信号错误</t>
  </si>
  <si>
    <t>B10-MVCU-SPB-057</t>
  </si>
  <si>
    <t>ON3上电&amp;&amp;ESC车速无效&amp;&amp;MCU值为0rpm&amp;&amp;MCU$CA校验信号错误--判断车速无效</t>
  </si>
  <si>
    <t>1.设置C_CAN的IBC$182报文中的IBC_VehicleSpeedVD=1；无效；
2.设置IBC_VehicleSpeed=0km/h；
3.设置P_CAN的MCU$CA报文中MCU_DrvMotorRPM=0rpm
3.设置P_CAN的MCU$CA的校验信号错误</t>
  </si>
  <si>
    <t>车速方向判断</t>
    <phoneticPr fontId="11" type="noConversion"/>
  </si>
  <si>
    <t>B10-MVCU-SPB-070</t>
  </si>
  <si>
    <t>ESC&amp;MCU通信正常&amp;&amp;4轮轮速均有效且向前&amp;&amp;MCU转速大于0--判断车速方向向前</t>
    <phoneticPr fontId="11" type="noConversion"/>
  </si>
  <si>
    <t>因为车速有0.1的偏差所以设置车速为5.1</t>
    <phoneticPr fontId="11" type="noConversion"/>
  </si>
  <si>
    <t>初始化状态正常，ON3上电，且ESC车速为ESC有效，D档</t>
  </si>
  <si>
    <t>1.ESC和MCU通信正常
2.设置C_CAN的IBC$184中IBC_FLWheelDirection=1,Forward;
IBC_FRWheelDirection=1,
3.设置C_CAN的IBC$184中IBC_RLWheelDirection=1
IBC_RRWheelDirection=1
4.设置P_CAN的MCU$CA报文中MCU_DrvMotorRPM=496rpm
5.设置C_CAN的IBC$182报文中的IBC_VehicleSpeed=5km/h；</t>
  </si>
  <si>
    <t>VCU_VehicleSpdDirect=5km/h</t>
    <phoneticPr fontId="11" type="noConversion"/>
  </si>
  <si>
    <t>B10-MVCU-SPB-070-1</t>
  </si>
  <si>
    <t>IBC$182通信丢失--判断车速方向向前</t>
  </si>
  <si>
    <t>执行完用例B10-MVCU-SPB-070之后</t>
  </si>
  <si>
    <t>1.设置IBC$182通信丢失</t>
  </si>
  <si>
    <t>B10-MVCU-SPB-070-2</t>
  </si>
  <si>
    <t>MCU转速值=0rpm--判断车速方向向前</t>
    <phoneticPr fontId="11" type="noConversion"/>
  </si>
  <si>
    <t>VCU_VehicleSpdDirect=5km/h</t>
    <phoneticPr fontId="6" type="noConversion"/>
  </si>
  <si>
    <t>B10-MVCU-SPB-070-3</t>
  </si>
  <si>
    <t>MCU转速值--500rpm--判断车速方向向前</t>
    <phoneticPr fontId="11" type="noConversion"/>
  </si>
  <si>
    <t>设置P_CAN的MCU$CA报文中MCU_DrvMotorRPM=-500rpm</t>
  </si>
  <si>
    <t>B10-MVCU-SPB-070-3-01</t>
  </si>
  <si>
    <t>2个轮方向向后--判断车速方向向后</t>
    <phoneticPr fontId="11" type="noConversion"/>
  </si>
  <si>
    <t>执行完用例B10-MVCU-SPB-070-3之后</t>
  </si>
  <si>
    <t>设置C_CAN的IBC$184中IBC_FLWheelDirection=2,Backward;
IBC_FRWheelDirection=2,Backward;</t>
  </si>
  <si>
    <t>VCU_VehicleSpdDirect=-5km/h</t>
  </si>
  <si>
    <t>B10-MVCU-SPB-070-4</t>
  </si>
  <si>
    <t>MCU转速值0xFFFF--判断车速方向向前</t>
    <phoneticPr fontId="11" type="noConversion"/>
  </si>
  <si>
    <t>B10-MVCU-SPB-070-5</t>
  </si>
  <si>
    <t>1个轮方向无效--判断车速方向向前</t>
    <phoneticPr fontId="11" type="noConversion"/>
  </si>
  <si>
    <t>设置C_CAN的IBC$184中IBC_FLWheelDirection=3，InValid</t>
  </si>
  <si>
    <t>B10-MVCU-SPB-070-6</t>
  </si>
  <si>
    <t>2个轮方向无效--判断车速方向向前</t>
    <phoneticPr fontId="11" type="noConversion"/>
  </si>
  <si>
    <t>设置C_CAN的IBC$184中IBC_FLWheelDirection=3，InValid
IBC_FRWheelDirection=3，InValid</t>
  </si>
  <si>
    <t>B10-MVCU-SPB-070-7</t>
  </si>
  <si>
    <t>3个轮方向无效--判断车速方向向前</t>
    <phoneticPr fontId="11" type="noConversion"/>
  </si>
  <si>
    <t>设置C_CAN的IBC$184中IBC_FLWheelDirection=3，InValid
IBC_RLWheelDirection=3，InValid
IBC_RRWheelDirection=3，InValid</t>
  </si>
  <si>
    <t>B10-MVCU-SPB-070-8</t>
  </si>
  <si>
    <t>4个轮方向均无效--判断车速方向前</t>
    <phoneticPr fontId="11" type="noConversion"/>
  </si>
  <si>
    <t>1.设置C_CAN的IBC$184中IBC_FLWheelDirection=3，InValid
IBC_FRWheelDirection=3，InValid
IBC_RLWheelDirection=3，InValid
IBC_RRWheelDirection=3，InValid</t>
  </si>
  <si>
    <t>B10-MVCU-SPB-070-9</t>
  </si>
  <si>
    <t>1个轮方向向后--判断车速方向向前</t>
    <phoneticPr fontId="11" type="noConversion"/>
  </si>
  <si>
    <t>设置C_CAN的IBC$184中IBC_FLWheelDirection=2,Backward;</t>
  </si>
  <si>
    <t>B10-MVCU-SPB-070-10</t>
  </si>
  <si>
    <t>2个轮方向向后--判断车速方向向前</t>
    <phoneticPr fontId="11" type="noConversion"/>
  </si>
  <si>
    <t>B10-MVCU-SPB-070-11</t>
  </si>
  <si>
    <t>3个轮方向向后--判断车速方向向后</t>
    <phoneticPr fontId="11" type="noConversion"/>
  </si>
  <si>
    <t>设置C_CAN的IBC$184中IBC_FLWheelDirection=2,Backward;
IBC_RLWheelDirection=2,Backward;
IBC_RRWheelDirection=2,Backward;</t>
  </si>
  <si>
    <t>B10-MVCU-SPB-070-12</t>
  </si>
  <si>
    <t>4个轮方向均向后--判断车速方向向后</t>
    <phoneticPr fontId="11" type="noConversion"/>
  </si>
  <si>
    <t>13B里面的车辆方向是根据档位判断的；BC里面的车速方向正代表向前，负代表向后</t>
    <phoneticPr fontId="6" type="noConversion"/>
  </si>
  <si>
    <t>1.设置C_CAN的$184中IBC_FLWheelDirection=2,Backward;
IBC_FRWheelDirection=2,Backward;
IBC_RLWheelDirection=2,Backward;
IBC_RRWheelDirection=2,Backward;</t>
  </si>
  <si>
    <t>B10-MVCU-SPB-070-13</t>
  </si>
  <si>
    <t>MCU$CA通信丢失--判断车速方向向前</t>
  </si>
  <si>
    <t>1.设置MCU$OCA通信丢失</t>
    <phoneticPr fontId="11" type="noConversion"/>
  </si>
  <si>
    <t>VCU_VehicleSpeedVD=0x1ESC车速有效</t>
    <phoneticPr fontId="6" type="noConversion"/>
  </si>
  <si>
    <t>B10-MVCU-SPB-070-14</t>
  </si>
  <si>
    <t>1个轮方向still--判断车速方向向前</t>
    <phoneticPr fontId="11" type="noConversion"/>
  </si>
  <si>
    <t>设置C_CAN的IBC$184中IBC_FLWheelDirection=0,StandStill;</t>
  </si>
  <si>
    <t>B10-MVCU-SPB-070-15</t>
  </si>
  <si>
    <t>2个轮方向still--判断车速方向向前</t>
    <phoneticPr fontId="11" type="noConversion"/>
  </si>
  <si>
    <t>设置C_CAN的IBC$184中IBC_FLWheelDirection=0,StandStill;
IBC_FRWheelDirection=0,StandStill;</t>
  </si>
  <si>
    <t>B10-MVCU-SPB-070-16</t>
  </si>
  <si>
    <t>3个轮方向still--判断车速方向向前</t>
    <phoneticPr fontId="11" type="noConversion"/>
  </si>
  <si>
    <t>设置C_CAN的IBC$184中IBC_FLWheelDirection=0,StandStill;
IBC_RLWheelDirection=0,StandStill;
IBC_RRWheelDirection=0,StandStill;</t>
  </si>
  <si>
    <t>B10-MVCU-SPB-070-17</t>
  </si>
  <si>
    <t>4个轮方向stull--判断车速方向向前</t>
    <phoneticPr fontId="11" type="noConversion"/>
  </si>
  <si>
    <t>1.设置C_CAN的IBC$184中IBC_FLWheelDirection=0,StandStill;
IBC_FRWheelDirection=0,StandStill;
IBC_RLWheelDirection=0,StandStill;
IBC_RRWheelDirection=0,StandStill;</t>
  </si>
  <si>
    <t>B10-MVCU-SPB-071</t>
  </si>
  <si>
    <t>ESC通信丢失&amp;MCU通信正常&amp;&amp;4轮轮速均有效且向前&amp;&amp;MCU转速小于0--判断车速方向向后</t>
    <phoneticPr fontId="11" type="noConversion"/>
  </si>
  <si>
    <t>1.ESC和MCU通信正常
2.设置C_CAN的IBC$184中IBC_FLWheelDirection=1,Forward;
IBC_FRWheelDirection=1,Forward
IBC_RLWheelDirection=1,Forward
IBC_RRWheelDirection=1,Forward
4.设置P_CAN的MCU$CA报文中MCU_DrvMotorRPM=-496rpm
5.设置C_CAN的IBC$182报文中的IBC_VehicleSpeed=5km/h；
6.设置IBC$0B1通信丢失</t>
  </si>
  <si>
    <t>B10-MVCU-SPB-071-01</t>
  </si>
  <si>
    <t>MCU转速值=0rpm--判断车速0</t>
    <phoneticPr fontId="11" type="noConversion"/>
  </si>
  <si>
    <t>执行完用例B10-MVCU-SPB-071之后</t>
  </si>
  <si>
    <t>设置P_CAN的MCU$CA报文中MCU_DrvMotorRPM=0rpm</t>
    <phoneticPr fontId="6" type="noConversion"/>
  </si>
  <si>
    <t>B10-MVCU-SPB-071-02</t>
  </si>
  <si>
    <t>MCU转速值500rpm--判断车速方向向前</t>
    <phoneticPr fontId="6" type="noConversion"/>
  </si>
  <si>
    <t>设置P_CAN的MCU$CA报文中MCU_DrvMotorRPM=500rpm</t>
    <phoneticPr fontId="6" type="noConversion"/>
  </si>
  <si>
    <t>B10-MVCU-SPB-071-03</t>
  </si>
  <si>
    <t>MCU转速值0xFFFF--判断车速方向向后</t>
    <phoneticPr fontId="11" type="noConversion"/>
  </si>
  <si>
    <t>VCU_VehicleSpeedVD=0x0车速无效</t>
    <phoneticPr fontId="6" type="noConversion"/>
  </si>
  <si>
    <t>B10-MVCU-SPB-071-04</t>
  </si>
  <si>
    <t>MCU$CA通信丢失--判断车速方向向后</t>
  </si>
  <si>
    <t>1.设置MCU$CA通信丢失</t>
  </si>
  <si>
    <t>B10-MVCU-SPB-071-05</t>
  </si>
  <si>
    <t>1个轮方向无效--判断车速方向向后</t>
    <phoneticPr fontId="11" type="noConversion"/>
  </si>
  <si>
    <t>B10-MVCU-SPB-071-06</t>
  </si>
  <si>
    <t>2个轮方向无效--判断车速方向向后</t>
    <phoneticPr fontId="11" type="noConversion"/>
  </si>
  <si>
    <t>B10-MVCU-SPB-071-07</t>
  </si>
  <si>
    <t>3个轮方向无效--判断车速方向向后</t>
    <phoneticPr fontId="11" type="noConversion"/>
  </si>
  <si>
    <t>B10-MVCU-SPB-071-08</t>
  </si>
  <si>
    <t>4个轮方向均无效--判断车速方向后</t>
    <phoneticPr fontId="11" type="noConversion"/>
  </si>
  <si>
    <t>B10-MVCU-SPB-071-09</t>
  </si>
  <si>
    <t>1个轮方向向后--判断车速方向向后</t>
    <phoneticPr fontId="11" type="noConversion"/>
  </si>
  <si>
    <t>B10-MVCU-SPB-071-010</t>
  </si>
  <si>
    <t>VCU_VehicleSpeedVD=0x2,MCU车速有效</t>
  </si>
  <si>
    <t>B10-MVCU-SPB-071-011</t>
  </si>
  <si>
    <t>B10-MVCU-SPB-071-012</t>
  </si>
  <si>
    <t>4个轮方向均向后--判断车速方向后</t>
    <phoneticPr fontId="11" type="noConversion"/>
  </si>
  <si>
    <t>1.设置C_CAN的IBC$184中IBC_FLWheelDirection=2,Backward;
IBC_FRWheelDirection=2,Backward;
IBC_RLWheelDirection=2,Backward;
IBC_RRWheelDirection=2,Backward;</t>
  </si>
  <si>
    <t>B10-MVCU-SPB-071-013</t>
  </si>
  <si>
    <t>1个轮方向still--判断车速方向向后</t>
    <phoneticPr fontId="11" type="noConversion"/>
  </si>
  <si>
    <t>B10-MVCU-SPB-071-014</t>
  </si>
  <si>
    <t>2个轮方向still--判断车速方向向后</t>
    <phoneticPr fontId="11" type="noConversion"/>
  </si>
  <si>
    <t>B10-MVCU-SPB-071-015</t>
  </si>
  <si>
    <t>3个轮方向still--判断车速方向向后</t>
    <phoneticPr fontId="11" type="noConversion"/>
  </si>
  <si>
    <t>B10-MVCU-SPB-071-016</t>
  </si>
  <si>
    <t>4个轮方向stull--判断车速方向向后</t>
    <phoneticPr fontId="11" type="noConversion"/>
  </si>
  <si>
    <t>B10-MVCU-SPB-072</t>
  </si>
  <si>
    <t>ESC&amp;MCU通信正常&amp;&amp;1个轮轮速有效且向前&amp;&amp;MCU转速大于0--判断车速方向向前</t>
    <phoneticPr fontId="11" type="noConversion"/>
  </si>
  <si>
    <t>ESC车速方向无效：无效个数&gt;3</t>
    <phoneticPr fontId="6" type="noConversion"/>
  </si>
  <si>
    <t>1.ESC和MCU通信正常
2.设置C_CAN的IBC$184中IBC_FLWheelDirection=1,Forward;
IBC_FRWheelDirection=3,Invalid
3.设置C_CAN的IBC$184中IBC_RLWheelDirection=3,Invalid
IBC_RRWheelDirection=3,Invalid
4.设置P_CAN的MCU$CA报文中MCU_DrvMotorRPM=500rpm
5.设置C_CAN的IBC$182报文中的IBC_VehicleSpeed=5km/h；</t>
  </si>
  <si>
    <t>B10-MVCU-SPB-072-01</t>
  </si>
  <si>
    <t>执行完用例B10-MVCU-SPB-072之后</t>
  </si>
  <si>
    <t>B10-MVCU-SPB-072-02</t>
  </si>
  <si>
    <t>MCU转速值-500rpm--判断车速方向向后</t>
    <phoneticPr fontId="6" type="noConversion"/>
  </si>
  <si>
    <t>设置P_CAN的MCU$CA报文中MCU_DrvMotorRPM=-500rpm</t>
    <phoneticPr fontId="6" type="noConversion"/>
  </si>
  <si>
    <t>B10-MVCU-SPB-072-03</t>
  </si>
  <si>
    <t>B10-MVCU-SPB-072-04</t>
  </si>
  <si>
    <t>MCU$CA校验信号错误--判断车速方向向前</t>
  </si>
  <si>
    <t>1.设置MCU$CA校验信号错误</t>
  </si>
  <si>
    <t>B10-MVCU-SPB-072-05</t>
  </si>
  <si>
    <t>轮速方向向后--判断车速方向向前</t>
    <phoneticPr fontId="11" type="noConversion"/>
  </si>
  <si>
    <t>VCU_VehicleSpeedVD=0x1,ESC车速有效</t>
  </si>
  <si>
    <t>B10-MVCU-SPB-072-06</t>
  </si>
  <si>
    <t>轮速方向still--判断车速方向向前</t>
    <phoneticPr fontId="11" type="noConversion"/>
  </si>
  <si>
    <t>B10-MVCU-SPB-073</t>
  </si>
  <si>
    <t>ESC&amp;MCU通信正常&amp;&amp;2个轮速有效且向前&amp;&amp;2个轮速有效且向后&amp;&amp;MCU转速小于0--判断车速方向向后</t>
    <phoneticPr fontId="11" type="noConversion"/>
  </si>
  <si>
    <t>ESC无效个数≤2且向前=向后，且车速大于3，转速小于0，则保持向后</t>
    <phoneticPr fontId="6" type="noConversion"/>
  </si>
  <si>
    <t>1.ESC和MCU通信正常
2.设置C_CAN的IBC$184中IBC_FLWheelDirection=1,Forward;
IBC_FRWheelDirection=1,Forward;
IBC_RLWheelDirection=2，backward
IBC_RRWheelDirection=2，backward
4.设置P_CAN的MCU$CA报文中MCU_DrvMotorRPM=-500rpm
5.设置C_CAN的IBC$182报文中的IBC_VehicleSpeed=5km/h；</t>
  </si>
  <si>
    <t>VCU_VehicleSpdDirect=-5km/h；计算方向后的整车车速；</t>
    <phoneticPr fontId="6" type="noConversion"/>
  </si>
  <si>
    <t>B10-MVCU-SPB-073-01</t>
  </si>
  <si>
    <t>MCU转速值=0rpm--判断车速方向向后</t>
    <phoneticPr fontId="11" type="noConversion"/>
  </si>
  <si>
    <t>保持上一时刻</t>
    <phoneticPr fontId="6" type="noConversion"/>
  </si>
  <si>
    <t>执行完用例B10-MVCU-SPB-073之后</t>
  </si>
  <si>
    <t>B10-MVCU-SPB-073-02</t>
  </si>
  <si>
    <t>B10-MVCU-SPB-073-02-01</t>
  </si>
  <si>
    <t>ESC车速值1&amp;&amp;MCU转速值100rpm--判断车速方向向前</t>
    <phoneticPr fontId="11" type="noConversion"/>
  </si>
  <si>
    <t>车速小于3，保持上一时刻，保持ESC的方向</t>
    <phoneticPr fontId="6" type="noConversion"/>
  </si>
  <si>
    <t>执行完用例B10-MVCU-SPB-073-02之后</t>
  </si>
  <si>
    <t>设置P_CAN的MCU$CA报文中MCU_DrvMotorRPM=100rpm；
设置C_CAN的IBC$182报文中的IBC_VehicleSpeed=1km/h；</t>
    <phoneticPr fontId="6" type="noConversion"/>
  </si>
  <si>
    <t>VCU_VehicleSpdDirect=1km/h</t>
    <phoneticPr fontId="6" type="noConversion"/>
  </si>
  <si>
    <t>B10-MVCU-SPB-073-03</t>
  </si>
  <si>
    <t>ESC车速值2&amp;&amp;MCU转速值200rpm--判断车速方向向后</t>
    <phoneticPr fontId="11" type="noConversion"/>
  </si>
  <si>
    <t>设置P_CAN的MCU$CA报文中MCU_DrvMotorRPM=200rpm；
设置C_CAN的IBC$182报文中的IBC_VehicleSpeed=2km/h；</t>
    <phoneticPr fontId="6" type="noConversion"/>
  </si>
  <si>
    <t>VCU_VehicleSpdDirect=-2km/h</t>
    <phoneticPr fontId="6" type="noConversion"/>
  </si>
  <si>
    <t>B10-MVCU-SPB-073-04</t>
  </si>
  <si>
    <t>B10-MVCU-SPB-073-05</t>
  </si>
  <si>
    <t>IBC$227通信丢失--判断车速方向向后</t>
    <phoneticPr fontId="6" type="noConversion"/>
  </si>
  <si>
    <t>1.设置IBC$227通信丢失</t>
    <phoneticPr fontId="6" type="noConversion"/>
  </si>
  <si>
    <t>VCU_VehicleSpeedVD=0x2；MCU车速有效</t>
    <phoneticPr fontId="6" type="noConversion"/>
  </si>
  <si>
    <t>B10-MVCU-SPB-074</t>
  </si>
  <si>
    <t>ESC通信正常&amp;MCU电机旋变故障&amp;&amp;4轮轮速均有效且向前&amp;&amp;MCU转速大于0--判断车速方向向前</t>
    <phoneticPr fontId="11" type="noConversion"/>
  </si>
  <si>
    <t>1.ESC和MCU通信正常
2.设置C_CAN的IBC$184中IBC_FLWheelDirection=1,Forward;
IBC_FRWheelDirection=1,Forward
IBC_RLWheelDirection=1,Forward
IBC_RRWheelDirection=1,Forward
3.设置P_CAN的MCU$CA报文中MCU_DrvMotorRPM=500rpm
4.设置C_CAN的IBC$182报文中的IBC_VehicleSpeed=5km/h；
5.设置$CA报文的MCUM_HWRdcFault=1,Error</t>
    <phoneticPr fontId="6" type="noConversion"/>
  </si>
  <si>
    <t>B10-MVCU-SPB-074-01</t>
  </si>
  <si>
    <t>IBC$0B1通信丢失--判断车速方向向前</t>
    <phoneticPr fontId="6" type="noConversion"/>
  </si>
  <si>
    <t>执行完用例B10-MVCU-SPB-074之后</t>
  </si>
  <si>
    <t>1.设置IBC$B1通信丢失</t>
    <phoneticPr fontId="6" type="noConversion"/>
  </si>
  <si>
    <t>B10-MVCU-SPB-074-02</t>
  </si>
  <si>
    <t>B10-MVCU-SPB-074-03</t>
  </si>
  <si>
    <t>MCU转速值-500rpm--判断车速方向向前</t>
    <phoneticPr fontId="6" type="noConversion"/>
  </si>
  <si>
    <t>B10-MVCU-SPB-074-04</t>
  </si>
  <si>
    <t>B10-MVCU-SPB-074-05</t>
  </si>
  <si>
    <t>B10-MVCU-SPB-074-06</t>
  </si>
  <si>
    <t>B10-MVCU-SPB-074-07</t>
  </si>
  <si>
    <t>B10-MVCU-SPB-074-08</t>
  </si>
  <si>
    <t>B10-MVCU-SPB-074-09</t>
  </si>
  <si>
    <t>B10-MVCU-SPB-074-10</t>
  </si>
  <si>
    <t>设置C_CAN的IBC$184中IBC_FLWheelDirection=0,StandStill;
IBC_RLWheelDirection=0,StandStill;
IBC_RRWheelDirection=0,StandStill;</t>
    <phoneticPr fontId="6" type="noConversion"/>
  </si>
  <si>
    <t>B10-MVCU-SPB-075</t>
  </si>
  <si>
    <t>ESC通信正常&amp;MCU通信正常&amp;&amp;4轮轮速均有效且向前&amp;&amp;MCU转速错误--判断车速方向向前</t>
    <phoneticPr fontId="11" type="noConversion"/>
  </si>
  <si>
    <t>电机转速无效改为旋变故障</t>
    <phoneticPr fontId="6" type="noConversion"/>
  </si>
  <si>
    <t>1.ESC和MCU通信正常
2.设置C_CAN的IBC$184中IBC_FLWheelDirection=1,Forward;
IBC_FRWheelDirection=1,Forward;
IBC_RLWheelDirection=1,Forward;
IBC_RRWheelDirection=1,Forward;
3.设置P_CAN的MCU$CA报文中MCU_DrvMotorRPM=48535rpm
4.设置C_CAN的IBC$182报文中的IBC_VehicleSpeed=5km/h；</t>
    <phoneticPr fontId="6" type="noConversion"/>
  </si>
  <si>
    <t>B10-MVCU-SPB-075-01</t>
  </si>
  <si>
    <t>ESCC_CAN$227通信丢失--判断车速方向向前</t>
  </si>
  <si>
    <t>执行完用例B10-MVCU-SPB-075之后</t>
  </si>
  <si>
    <t>B10-MVCU-SPB-075-02</t>
  </si>
  <si>
    <t>设置C_CAN的IBC$184中IBC_FLWheelDirection=3，InValid
IBC_RLWheelDirection=3，InValid
IBC_RRWheelDirection=3，InValid</t>
    <phoneticPr fontId="6" type="noConversion"/>
  </si>
  <si>
    <t>B10-MVCU-SPB-075-03</t>
  </si>
  <si>
    <t>4个轮方向均无效--判断车速方向向前</t>
    <phoneticPr fontId="11" type="noConversion"/>
  </si>
  <si>
    <t>1.设置C_CAN的IBC$184中IBC_FLWheelDirection=3，InValid
IBC_FRWheelDirection=3，InValid
IBC_RLWheelDirection=3，InValid
IBC_RRWheelDirection=3，InValid</t>
    <phoneticPr fontId="6" type="noConversion"/>
  </si>
  <si>
    <t>B10-MVCU-SPB-075-04</t>
  </si>
  <si>
    <t>B10-MVCU-SPB-075-05</t>
  </si>
  <si>
    <t>设置C_CAN的IBC$184中IBC_FLWheelDirection=2,Backward;
IBC_RLWheelDirection=2,Backward;
IBC_RRWheelDirection=2,Backward;</t>
    <phoneticPr fontId="6" type="noConversion"/>
  </si>
  <si>
    <t>B10-MVCU-SPB-075-06</t>
  </si>
  <si>
    <t>4个轮方向still--判断车速方向向前</t>
    <phoneticPr fontId="11" type="noConversion"/>
  </si>
  <si>
    <t>1.设置C_CAN的IBC$184中IBC_FLWheelDirection=0,StandStill;
IBC_FRWheelDirection=0,StandStill;
IBC_RLWheelDirection=0,StandStill;
IBC_RRWheelDirection=0,StandStill;</t>
    <phoneticPr fontId="6" type="noConversion"/>
  </si>
  <si>
    <t>零车速判断</t>
    <phoneticPr fontId="11" type="noConversion"/>
  </si>
  <si>
    <r>
      <t>当ESC车速有效且车速值＜零车速阈值</t>
    </r>
    <r>
      <rPr>
        <sz val="11"/>
        <color rgb="FF00B050"/>
        <rFont val="宋体"/>
        <family val="3"/>
        <charset val="134"/>
      </rPr>
      <t>0.5km/h</t>
    </r>
    <r>
      <rPr>
        <sz val="11"/>
        <color theme="1"/>
        <rFont val="宋体"/>
        <family val="3"/>
        <charset val="134"/>
      </rPr>
      <t>，且保持1s，判断整车零车速有效</t>
    </r>
    <phoneticPr fontId="11" type="noConversion"/>
  </si>
  <si>
    <t xml:space="preserve">1.设置C_CAN的IBC$182报文中的IBC_VehicleSpeedVD=0；有效；
2.设置IBC_VehicleSpeed=20km/h；
</t>
  </si>
  <si>
    <t>VCU_VehicleDirect=0x0;Forward</t>
    <phoneticPr fontId="11" type="noConversion"/>
  </si>
  <si>
    <t>VCU_VehicleSpdDirect=20km/h</t>
    <phoneticPr fontId="6" type="noConversion"/>
  </si>
  <si>
    <t>检测内部信号</t>
    <phoneticPr fontId="6" type="noConversion"/>
  </si>
  <si>
    <t>VCU_VehStillSts=0</t>
    <phoneticPr fontId="6" type="noConversion"/>
  </si>
  <si>
    <t xml:space="preserve">
3.设置IBC_VehicleSpeed≤0.5km/h；
</t>
  </si>
  <si>
    <t>VCU_VehStillSts=0，1s后为1</t>
    <phoneticPr fontId="6" type="noConversion"/>
  </si>
  <si>
    <r>
      <t>当ESC车速有效且车速值≥零车速阈值</t>
    </r>
    <r>
      <rPr>
        <sz val="11"/>
        <color rgb="FF00B050"/>
        <rFont val="宋体"/>
        <family val="3"/>
        <charset val="134"/>
      </rPr>
      <t>0.5km/h</t>
    </r>
    <r>
      <rPr>
        <sz val="11"/>
        <color theme="1"/>
        <rFont val="宋体"/>
        <family val="3"/>
        <charset val="134"/>
      </rPr>
      <t>，判断整车零车速无效</t>
    </r>
    <phoneticPr fontId="11" type="noConversion"/>
  </si>
  <si>
    <t xml:space="preserve">1.设置C_CAN的IBC$182报文中的IBC_VehicleSpeedVD=0；有效；
2.设置IBC_VehicleSpeed≤0.5km/h且保持1s以上；
</t>
  </si>
  <si>
    <t>VCU_VehicleSpdDirect=0.5km/h</t>
    <phoneticPr fontId="6" type="noConversion"/>
  </si>
  <si>
    <t>VCU_VehStillSts=1</t>
    <phoneticPr fontId="6" type="noConversion"/>
  </si>
  <si>
    <t xml:space="preserve">
3.设置IBC_VehicleSpeed=20km/h；
</t>
  </si>
  <si>
    <t>第一轮测试结果</t>
    <phoneticPr fontId="11" type="noConversion"/>
  </si>
  <si>
    <t>第二轮测试结果</t>
    <phoneticPr fontId="11" type="noConversion"/>
  </si>
  <si>
    <t>用例选择数</t>
    <phoneticPr fontId="11" type="noConversion"/>
  </si>
  <si>
    <t>1."P"---正确
2."F"---错误
3."-"---未测试
4."N/A"---不适用
5."New"---新增用例</t>
    <phoneticPr fontId="11" type="noConversion"/>
  </si>
  <si>
    <t>B10-MVCU-SPB-030</t>
    <phoneticPr fontId="6" type="noConversion"/>
  </si>
  <si>
    <t>测试用例与测试结果</t>
    <phoneticPr fontId="11" type="noConversion"/>
  </si>
  <si>
    <t>NVM存储</t>
    <phoneticPr fontId="11" type="noConversion"/>
  </si>
  <si>
    <t>UDS诊断</t>
    <phoneticPr fontId="11" type="noConversion"/>
  </si>
  <si>
    <t>通讯</t>
    <phoneticPr fontId="11" type="noConversion"/>
  </si>
  <si>
    <t>PWM</t>
    <phoneticPr fontId="11" type="noConversion"/>
  </si>
  <si>
    <t>软件运行后，在DATA_READ_DELAY阈值时间(可标定，2s)内软件成功从NVM获取三相霍尔增益参数</t>
    <phoneticPr fontId="11" type="noConversion"/>
  </si>
  <si>
    <t>1.运行HIL测试平台
Run the HIL test platform
2.KL30信号（在9到16V之间）为ON 
Set KL30 signal (between 9 and 16V) is ON
3.KL15/ON2信号为ON
Set KL15/ON2 signal is ON
4.EOL下线工况得出三相霍尔增益参数依次为：
HALLGAIN_U,HALLGAIN_V,HALLGAIN_W</t>
    <phoneticPr fontId="11" type="noConversion"/>
  </si>
  <si>
    <t>1.上电等待2s
2.通过0x5D3报文观测NVM参数读取状态：
RMCU_NVM_HallGainRFault
3.通过0x5D3报文, 观测三相霍尔增益参数：RMCU_UserDefine_Byte1
RMCU_UserDefine_Word1
RMCU_UserDefine_Word2
RMCU_UserDefine_Word3
4.给定电机转速/扭矩，观测反馈转速/扭矩</t>
    <phoneticPr fontId="6" type="noConversion"/>
  </si>
  <si>
    <t>0x5D3</t>
    <phoneticPr fontId="6" type="noConversion"/>
  </si>
  <si>
    <t>1.观测NVM参数读取状态为成功：
RMCU_NVM_HallGainRFault = NoFault;
2.观测的三相霍尔增益参数数值如下(与EOL下线工况结果一致)：
RMCU_UserDefine_Byte1  = 4
RMCU_UserDefine_Word1 = HALLGAIN_U
RMCU_UserDefine_Word2 = HALLGAIN_V
RMCU_UserDefine_Word3 = HALLGAIN_W
3.观测电机反馈转速/扭矩与给定一致</t>
    <phoneticPr fontId="6" type="noConversion"/>
  </si>
  <si>
    <t>Y</t>
  </si>
  <si>
    <t>P</t>
  </si>
  <si>
    <t>TC_SWQT_NVM_1</t>
    <phoneticPr fontId="6" type="noConversion"/>
  </si>
  <si>
    <t>[HEAD-2640]NVM读写控制
[SYS-2852-RS]NVM读写控制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</si>
</sst>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d/mmm/yyyy;@"/>
    <numFmt numFmtId="177" formatCode="[$-409]d/mmm/yy;@"/>
    <numFmt numFmtId="178" formatCode="[$-409]mmmm\ d\,\ yyyy;@"/>
  </numFmts>
  <fonts count="43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0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sz val="12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Microsoft YaHei"/>
      <family val="2"/>
    </font>
    <font>
      <sz val="11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2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2"/>
      <color theme="1"/>
      <name val="等线"/>
      <family val="3"/>
      <charset val="134"/>
      <scheme val="minor"/>
    </font>
    <font>
      <b/>
      <sz val="14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strike/>
      <sz val="11"/>
      <name val="宋体"/>
      <family val="3"/>
      <charset val="134"/>
    </font>
    <font>
      <b/>
      <strike/>
      <sz val="11"/>
      <name val="宋体"/>
      <family val="3"/>
      <charset val="134"/>
    </font>
    <font>
      <strike/>
      <sz val="11"/>
      <color theme="1"/>
      <name val="宋体"/>
      <family val="3"/>
      <charset val="134"/>
    </font>
    <font>
      <sz val="11"/>
      <color rgb="FF00B05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medium">
        <color indexed="64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>
      <alignment vertical="center"/>
    </xf>
    <xf numFmtId="0" fontId="7" fillId="0" borderId="0">
      <alignment vertical="center"/>
    </xf>
    <xf numFmtId="0" fontId="10" fillId="0" borderId="0"/>
    <xf numFmtId="0" fontId="13" fillId="0" borderId="0">
      <alignment vertical="center"/>
    </xf>
    <xf numFmtId="0" fontId="5" fillId="0" borderId="0"/>
    <xf numFmtId="0" fontId="16" fillId="0" borderId="0">
      <alignment vertical="center"/>
    </xf>
    <xf numFmtId="0" fontId="4" fillId="0" borderId="0"/>
    <xf numFmtId="0" fontId="8" fillId="0" borderId="0"/>
    <xf numFmtId="9" fontId="1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0" fillId="0" borderId="0">
      <alignment vertical="center"/>
    </xf>
    <xf numFmtId="0" fontId="10" fillId="0" borderId="0">
      <alignment vertical="center"/>
    </xf>
    <xf numFmtId="0" fontId="20" fillId="0" borderId="0">
      <alignment vertical="center"/>
    </xf>
    <xf numFmtId="0" fontId="10" fillId="0" borderId="0">
      <alignment vertical="center"/>
    </xf>
    <xf numFmtId="0" fontId="20" fillId="0" borderId="0">
      <alignment vertical="center"/>
    </xf>
    <xf numFmtId="0" fontId="21" fillId="0" borderId="0"/>
    <xf numFmtId="0" fontId="2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7" fontId="10" fillId="0" borderId="0">
      <alignment vertical="center"/>
    </xf>
    <xf numFmtId="0" fontId="3" fillId="0" borderId="0"/>
    <xf numFmtId="0" fontId="2" fillId="0" borderId="0"/>
    <xf numFmtId="0" fontId="2" fillId="0" borderId="0"/>
    <xf numFmtId="0" fontId="1" fillId="0" borderId="0"/>
    <xf numFmtId="178" fontId="1" fillId="0" borderId="0"/>
    <xf numFmtId="0" fontId="1" fillId="0" borderId="0"/>
    <xf numFmtId="178" fontId="1" fillId="0" borderId="0"/>
    <xf numFmtId="178" fontId="1" fillId="0" borderId="0"/>
    <xf numFmtId="0" fontId="1" fillId="0" borderId="0"/>
    <xf numFmtId="178" fontId="1" fillId="0" borderId="0"/>
    <xf numFmtId="178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</cellStyleXfs>
  <cellXfs count="385">
    <xf numFmtId="0" fontId="0" fillId="0" borderId="0" xfId="0">
      <alignment vertical="center"/>
    </xf>
    <xf numFmtId="0" fontId="10" fillId="0" borderId="0" xfId="2"/>
    <xf numFmtId="0" fontId="12" fillId="0" borderId="0" xfId="2" applyFont="1" applyAlignment="1">
      <alignment horizontal="center"/>
    </xf>
    <xf numFmtId="0" fontId="10" fillId="0" borderId="0" xfId="2" applyAlignment="1">
      <alignment vertical="center"/>
    </xf>
    <xf numFmtId="0" fontId="10" fillId="0" borderId="0" xfId="2" applyAlignment="1">
      <alignment wrapText="1"/>
    </xf>
    <xf numFmtId="0" fontId="14" fillId="4" borderId="13" xfId="5" applyFont="1" applyFill="1" applyBorder="1" applyAlignment="1">
      <alignment horizontal="center" vertical="center" wrapText="1"/>
    </xf>
    <xf numFmtId="0" fontId="14" fillId="4" borderId="1" xfId="5" applyFont="1" applyFill="1" applyBorder="1" applyAlignment="1">
      <alignment horizontal="center" vertical="center" wrapText="1"/>
    </xf>
    <xf numFmtId="0" fontId="14" fillId="4" borderId="14" xfId="5" applyFont="1" applyFill="1" applyBorder="1" applyAlignment="1">
      <alignment horizontal="center" vertical="center" wrapText="1"/>
    </xf>
    <xf numFmtId="0" fontId="17" fillId="2" borderId="13" xfId="2" applyFont="1" applyFill="1" applyBorder="1" applyAlignment="1">
      <alignment horizontal="center" vertical="center"/>
    </xf>
    <xf numFmtId="14" fontId="17" fillId="2" borderId="1" xfId="2" applyNumberFormat="1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/>
    </xf>
    <xf numFmtId="0" fontId="17" fillId="2" borderId="14" xfId="2" applyFont="1" applyFill="1" applyBorder="1" applyAlignment="1">
      <alignment horizontal="center" vertical="center" wrapText="1"/>
    </xf>
    <xf numFmtId="0" fontId="17" fillId="2" borderId="14" xfId="2" applyFont="1" applyFill="1" applyBorder="1" applyAlignment="1">
      <alignment vertical="top" wrapText="1"/>
    </xf>
    <xf numFmtId="0" fontId="17" fillId="2" borderId="14" xfId="2" applyFont="1" applyFill="1" applyBorder="1" applyAlignment="1">
      <alignment vertical="center" wrapText="1"/>
    </xf>
    <xf numFmtId="0" fontId="17" fillId="2" borderId="15" xfId="2" applyFont="1" applyFill="1" applyBorder="1" applyAlignment="1">
      <alignment horizontal="center" vertical="center"/>
    </xf>
    <xf numFmtId="14" fontId="17" fillId="2" borderId="16" xfId="2" applyNumberFormat="1" applyFont="1" applyFill="1" applyBorder="1" applyAlignment="1">
      <alignment horizontal="center" vertical="center"/>
    </xf>
    <xf numFmtId="0" fontId="17" fillId="2" borderId="16" xfId="2" applyFont="1" applyFill="1" applyBorder="1" applyAlignment="1">
      <alignment horizontal="center" vertical="center"/>
    </xf>
    <xf numFmtId="0" fontId="17" fillId="2" borderId="17" xfId="2" applyFont="1" applyFill="1" applyBorder="1" applyAlignment="1">
      <alignment vertical="center" wrapText="1"/>
    </xf>
    <xf numFmtId="0" fontId="19" fillId="0" borderId="0" xfId="7" applyFont="1"/>
    <xf numFmtId="0" fontId="14" fillId="3" borderId="9" xfId="4" applyFont="1" applyFill="1" applyBorder="1" applyAlignment="1">
      <alignment horizontal="center" vertical="center"/>
    </xf>
    <xf numFmtId="0" fontId="14" fillId="3" borderId="18" xfId="4" applyFont="1" applyFill="1" applyBorder="1" applyAlignment="1">
      <alignment horizontal="center" vertical="center"/>
    </xf>
    <xf numFmtId="176" fontId="10" fillId="5" borderId="0" xfId="9" applyNumberFormat="1" applyFill="1">
      <alignment vertical="center"/>
    </xf>
    <xf numFmtId="0" fontId="20" fillId="0" borderId="0" xfId="12" applyAlignment="1"/>
    <xf numFmtId="0" fontId="22" fillId="0" borderId="0" xfId="16" applyFont="1" applyAlignment="1">
      <alignment horizontal="center" vertical="center"/>
    </xf>
    <xf numFmtId="0" fontId="22" fillId="0" borderId="1" xfId="19" applyFont="1" applyBorder="1" applyAlignment="1">
      <alignment horizontal="center" vertical="center" wrapText="1"/>
    </xf>
    <xf numFmtId="0" fontId="25" fillId="2" borderId="1" xfId="19" applyFont="1" applyFill="1" applyBorder="1" applyAlignment="1">
      <alignment horizontal="center" vertical="center" wrapText="1"/>
    </xf>
    <xf numFmtId="14" fontId="22" fillId="0" borderId="1" xfId="19" applyNumberFormat="1" applyFont="1" applyBorder="1" applyAlignment="1">
      <alignment horizontal="center" vertical="center" wrapText="1"/>
    </xf>
    <xf numFmtId="0" fontId="22" fillId="0" borderId="0" xfId="16" applyFont="1" applyAlignment="1">
      <alignment horizontal="center" vertical="center" wrapText="1"/>
    </xf>
    <xf numFmtId="0" fontId="20" fillId="0" borderId="0" xfId="14" applyAlignment="1"/>
    <xf numFmtId="176" fontId="18" fillId="4" borderId="6" xfId="18" applyNumberFormat="1" applyFont="1" applyFill="1" applyBorder="1" applyAlignment="1">
      <alignment horizontal="center" vertical="center" wrapText="1"/>
    </xf>
    <xf numFmtId="176" fontId="18" fillId="4" borderId="1" xfId="18" applyNumberFormat="1" applyFont="1" applyFill="1" applyBorder="1" applyAlignment="1">
      <alignment horizontal="center" vertical="center" wrapText="1"/>
    </xf>
    <xf numFmtId="176" fontId="23" fillId="4" borderId="6" xfId="18" applyNumberFormat="1" applyFont="1" applyFill="1" applyBorder="1" applyAlignment="1">
      <alignment horizontal="center" vertical="center" wrapText="1"/>
    </xf>
    <xf numFmtId="0" fontId="22" fillId="0" borderId="0" xfId="16" applyFont="1" applyFill="1" applyAlignment="1">
      <alignment horizontal="center" vertical="center"/>
    </xf>
    <xf numFmtId="176" fontId="28" fillId="4" borderId="1" xfId="9" applyNumberFormat="1" applyFont="1" applyFill="1" applyBorder="1" applyAlignment="1">
      <alignment horizontal="center" vertical="center" wrapText="1"/>
    </xf>
    <xf numFmtId="176" fontId="17" fillId="0" borderId="1" xfId="10" applyNumberFormat="1" applyFont="1" applyBorder="1" applyAlignment="1">
      <alignment horizontal="center" vertical="center"/>
    </xf>
    <xf numFmtId="176" fontId="28" fillId="4" borderId="1" xfId="9" applyNumberFormat="1" applyFont="1" applyFill="1" applyBorder="1" applyAlignment="1">
      <alignment vertical="center" wrapText="1"/>
    </xf>
    <xf numFmtId="176" fontId="17" fillId="0" borderId="1" xfId="10" applyNumberFormat="1" applyFont="1" applyBorder="1" applyAlignment="1">
      <alignment vertical="center" wrapText="1"/>
    </xf>
    <xf numFmtId="0" fontId="14" fillId="3" borderId="1" xfId="4" applyFont="1" applyFill="1" applyBorder="1" applyAlignment="1">
      <alignment horizontal="center" vertical="center"/>
    </xf>
    <xf numFmtId="176" fontId="17" fillId="0" borderId="1" xfId="9" applyNumberFormat="1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29" fillId="0" borderId="1" xfId="8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9" fontId="14" fillId="4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29" fillId="4" borderId="26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9" fontId="28" fillId="4" borderId="1" xfId="0" applyNumberFormat="1" applyFont="1" applyFill="1" applyBorder="1" applyAlignment="1">
      <alignment horizontal="center" vertical="center" wrapText="1"/>
    </xf>
    <xf numFmtId="9" fontId="29" fillId="4" borderId="1" xfId="8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0" fontId="29" fillId="0" borderId="1" xfId="0" applyNumberFormat="1" applyFont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center" vertical="center" wrapText="1"/>
    </xf>
    <xf numFmtId="0" fontId="29" fillId="6" borderId="25" xfId="0" applyFont="1" applyFill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29" fillId="6" borderId="28" xfId="0" applyFont="1" applyFill="1" applyBorder="1" applyAlignment="1">
      <alignment horizontal="center" vertical="center" wrapText="1"/>
    </xf>
    <xf numFmtId="0" fontId="29" fillId="6" borderId="18" xfId="0" applyFont="1" applyFill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10" fontId="29" fillId="0" borderId="18" xfId="0" applyNumberFormat="1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0" fillId="7" borderId="32" xfId="0" applyFont="1" applyFill="1" applyBorder="1" applyAlignment="1">
      <alignment horizontal="center" vertical="center"/>
    </xf>
    <xf numFmtId="9" fontId="30" fillId="7" borderId="31" xfId="8" applyFont="1" applyFill="1" applyBorder="1" applyAlignment="1">
      <alignment horizontal="center" vertical="center"/>
    </xf>
    <xf numFmtId="0" fontId="14" fillId="0" borderId="3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9" fontId="14" fillId="0" borderId="24" xfId="8" applyFont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38" xfId="0" applyFont="1" applyFill="1" applyBorder="1" applyAlignment="1">
      <alignment horizontal="center" vertical="center" wrapText="1"/>
    </xf>
    <xf numFmtId="0" fontId="28" fillId="4" borderId="39" xfId="0" applyFont="1" applyFill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9" fontId="14" fillId="0" borderId="35" xfId="8" applyFont="1" applyBorder="1" applyAlignment="1">
      <alignment horizontal="center" vertical="center" wrapText="1"/>
    </xf>
    <xf numFmtId="177" fontId="28" fillId="4" borderId="1" xfId="21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177" fontId="28" fillId="0" borderId="1" xfId="21" applyFont="1" applyBorder="1" applyAlignment="1">
      <alignment horizontal="center" vertical="center"/>
    </xf>
    <xf numFmtId="0" fontId="14" fillId="3" borderId="1" xfId="24" applyFont="1" applyFill="1" applyBorder="1" applyAlignment="1">
      <alignment horizontal="center" vertical="center"/>
    </xf>
    <xf numFmtId="0" fontId="14" fillId="2" borderId="0" xfId="1" applyFont="1" applyFill="1">
      <alignment vertical="center"/>
    </xf>
    <xf numFmtId="0" fontId="17" fillId="2" borderId="42" xfId="1" applyFont="1" applyFill="1" applyBorder="1" applyAlignment="1">
      <alignment horizontal="right" vertical="center" wrapText="1"/>
    </xf>
    <xf numFmtId="0" fontId="17" fillId="2" borderId="41" xfId="1" applyFont="1" applyFill="1" applyBorder="1" applyAlignment="1">
      <alignment horizontal="right" vertical="center" wrapText="1"/>
    </xf>
    <xf numFmtId="0" fontId="14" fillId="2" borderId="44" xfId="1" applyFont="1" applyFill="1" applyBorder="1">
      <alignment vertical="center"/>
    </xf>
    <xf numFmtId="0" fontId="14" fillId="2" borderId="45" xfId="1" applyFont="1" applyFill="1" applyBorder="1">
      <alignment vertical="center"/>
    </xf>
    <xf numFmtId="0" fontId="14" fillId="2" borderId="46" xfId="1" applyFont="1" applyFill="1" applyBorder="1">
      <alignment vertical="center"/>
    </xf>
    <xf numFmtId="0" fontId="14" fillId="2" borderId="47" xfId="1" applyFont="1" applyFill="1" applyBorder="1">
      <alignment vertical="center"/>
    </xf>
    <xf numFmtId="0" fontId="14" fillId="2" borderId="48" xfId="1" applyFont="1" applyFill="1" applyBorder="1">
      <alignment vertical="center"/>
    </xf>
    <xf numFmtId="14" fontId="14" fillId="3" borderId="1" xfId="24" applyNumberFormat="1" applyFont="1" applyFill="1" applyBorder="1" applyAlignment="1">
      <alignment horizontal="center" vertical="center"/>
    </xf>
    <xf numFmtId="10" fontId="14" fillId="0" borderId="35" xfId="8" applyNumberFormat="1" applyFont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178" fontId="33" fillId="0" borderId="0" xfId="26" applyFont="1" applyAlignment="1">
      <alignment vertical="center"/>
    </xf>
    <xf numFmtId="178" fontId="34" fillId="0" borderId="0" xfId="26" applyFont="1"/>
    <xf numFmtId="178" fontId="33" fillId="10" borderId="1" xfId="26" applyFont="1" applyFill="1" applyBorder="1" applyAlignment="1">
      <alignment horizontal="right" vertical="center"/>
    </xf>
    <xf numFmtId="0" fontId="34" fillId="10" borderId="1" xfId="30" applyFont="1" applyFill="1" applyBorder="1" applyAlignment="1">
      <alignment horizontal="center" vertical="center" wrapText="1"/>
    </xf>
    <xf numFmtId="0" fontId="33" fillId="10" borderId="1" xfId="31" applyNumberFormat="1" applyFont="1" applyFill="1" applyBorder="1" applyAlignment="1">
      <alignment horizontal="right" vertical="center"/>
    </xf>
    <xf numFmtId="0" fontId="33" fillId="10" borderId="1" xfId="34" applyFont="1" applyFill="1" applyBorder="1" applyAlignment="1">
      <alignment horizontal="right" vertical="center"/>
    </xf>
    <xf numFmtId="0" fontId="34" fillId="0" borderId="24" xfId="30" applyFont="1" applyBorder="1" applyAlignment="1">
      <alignment horizontal="center" wrapText="1"/>
    </xf>
    <xf numFmtId="178" fontId="12" fillId="10" borderId="1" xfId="26" applyFont="1" applyFill="1" applyBorder="1" applyAlignment="1">
      <alignment horizontal="center" vertical="center" wrapText="1"/>
    </xf>
    <xf numFmtId="178" fontId="12" fillId="10" borderId="6" xfId="26" applyFont="1" applyFill="1" applyBorder="1" applyAlignment="1">
      <alignment horizontal="center" vertical="center" wrapText="1"/>
    </xf>
    <xf numFmtId="178" fontId="12" fillId="10" borderId="1" xfId="26" applyFont="1" applyFill="1" applyBorder="1" applyAlignment="1">
      <alignment horizontal="left" vertical="center" wrapText="1"/>
    </xf>
    <xf numFmtId="178" fontId="12" fillId="10" borderId="21" xfId="26" applyFont="1" applyFill="1" applyBorder="1" applyAlignment="1">
      <alignment horizontal="left" vertical="center" wrapText="1"/>
    </xf>
    <xf numFmtId="178" fontId="12" fillId="10" borderId="6" xfId="26" applyFont="1" applyFill="1" applyBorder="1" applyAlignment="1">
      <alignment horizontal="center" vertical="center" wrapText="1"/>
    </xf>
    <xf numFmtId="178" fontId="35" fillId="9" borderId="1" xfId="26" applyFont="1" applyFill="1" applyBorder="1" applyAlignment="1">
      <alignment horizontal="center" vertical="center" wrapText="1"/>
    </xf>
    <xf numFmtId="178" fontId="35" fillId="9" borderId="18" xfId="26" applyFont="1" applyFill="1" applyBorder="1" applyAlignment="1">
      <alignment horizontal="center" vertical="center" wrapText="1"/>
    </xf>
    <xf numFmtId="178" fontId="35" fillId="9" borderId="18" xfId="26" applyFont="1" applyFill="1" applyBorder="1" applyAlignment="1">
      <alignment horizontal="left" vertical="center" wrapText="1"/>
    </xf>
    <xf numFmtId="178" fontId="35" fillId="9" borderId="9" xfId="26" applyFont="1" applyFill="1" applyBorder="1" applyAlignment="1">
      <alignment horizontal="left" vertical="top" wrapText="1"/>
    </xf>
    <xf numFmtId="178" fontId="35" fillId="9" borderId="1" xfId="26" applyFont="1" applyFill="1" applyBorder="1" applyAlignment="1">
      <alignment horizontal="left" vertical="top" wrapText="1"/>
    </xf>
    <xf numFmtId="178" fontId="35" fillId="9" borderId="66" xfId="26" applyFont="1" applyFill="1" applyBorder="1" applyAlignment="1">
      <alignment horizontal="left" vertical="center" wrapText="1"/>
    </xf>
    <xf numFmtId="178" fontId="33" fillId="11" borderId="20" xfId="26" applyFont="1" applyFill="1" applyBorder="1" applyAlignment="1">
      <alignment horizontal="left" vertical="center"/>
    </xf>
    <xf numFmtId="178" fontId="34" fillId="12" borderId="20" xfId="26" applyFont="1" applyFill="1" applyBorder="1"/>
    <xf numFmtId="178" fontId="35" fillId="0" borderId="1" xfId="26" applyFont="1" applyBorder="1" applyAlignment="1">
      <alignment horizontal="center" vertical="center" wrapText="1"/>
    </xf>
    <xf numFmtId="178" fontId="12" fillId="0" borderId="1" xfId="26" applyFont="1" applyBorder="1" applyAlignment="1">
      <alignment horizontal="center" vertical="center" wrapText="1"/>
    </xf>
    <xf numFmtId="0" fontId="34" fillId="0" borderId="1" xfId="36" applyFont="1" applyBorder="1" applyAlignment="1">
      <alignment vertical="center" wrapText="1"/>
    </xf>
    <xf numFmtId="0" fontId="35" fillId="5" borderId="1" xfId="36" applyFont="1" applyFill="1" applyBorder="1" applyAlignment="1">
      <alignment horizontal="center" vertical="center" wrapText="1"/>
    </xf>
    <xf numFmtId="0" fontId="37" fillId="5" borderId="1" xfId="36" applyFont="1" applyFill="1" applyBorder="1" applyAlignment="1">
      <alignment horizontal="left" vertical="center" wrapText="1"/>
    </xf>
    <xf numFmtId="0" fontId="36" fillId="0" borderId="1" xfId="36" applyFont="1" applyBorder="1" applyAlignment="1">
      <alignment vertical="center" wrapText="1"/>
    </xf>
    <xf numFmtId="178" fontId="34" fillId="0" borderId="1" xfId="26" applyFont="1" applyBorder="1" applyAlignment="1">
      <alignment vertical="center" wrapText="1"/>
    </xf>
    <xf numFmtId="178" fontId="38" fillId="9" borderId="1" xfId="37" applyFont="1" applyFill="1" applyBorder="1" applyAlignment="1">
      <alignment horizontal="center" vertical="center"/>
    </xf>
    <xf numFmtId="178" fontId="34" fillId="0" borderId="1" xfId="37" applyFont="1" applyBorder="1"/>
    <xf numFmtId="178" fontId="38" fillId="0" borderId="1" xfId="37" applyFont="1" applyBorder="1" applyAlignment="1">
      <alignment horizontal="center" vertical="center"/>
    </xf>
    <xf numFmtId="178" fontId="34" fillId="0" borderId="1" xfId="26" applyFont="1" applyBorder="1" applyAlignment="1">
      <alignment wrapText="1"/>
    </xf>
    <xf numFmtId="0" fontId="34" fillId="0" borderId="1" xfId="36" applyFont="1" applyBorder="1">
      <alignment vertical="center"/>
    </xf>
    <xf numFmtId="178" fontId="34" fillId="0" borderId="1" xfId="38" applyFont="1" applyBorder="1" applyAlignment="1">
      <alignment vertical="center" wrapText="1"/>
    </xf>
    <xf numFmtId="178" fontId="35" fillId="0" borderId="1" xfId="40" applyFont="1" applyBorder="1" applyAlignment="1">
      <alignment horizontal="center" vertical="center"/>
    </xf>
    <xf numFmtId="178" fontId="35" fillId="0" borderId="1" xfId="40" applyFont="1" applyBorder="1" applyAlignment="1">
      <alignment horizontal="center" vertical="center" wrapText="1"/>
    </xf>
    <xf numFmtId="178" fontId="34" fillId="0" borderId="1" xfId="40" applyFont="1" applyBorder="1" applyAlignment="1">
      <alignment vertical="center" wrapText="1"/>
    </xf>
    <xf numFmtId="178" fontId="35" fillId="5" borderId="1" xfId="40" applyFont="1" applyFill="1" applyBorder="1" applyAlignment="1">
      <alignment horizontal="center" vertical="center" wrapText="1"/>
    </xf>
    <xf numFmtId="178" fontId="35" fillId="5" borderId="1" xfId="40" applyFont="1" applyFill="1" applyBorder="1" applyAlignment="1">
      <alignment vertical="center" wrapText="1"/>
    </xf>
    <xf numFmtId="178" fontId="1" fillId="0" borderId="0" xfId="40"/>
    <xf numFmtId="0" fontId="35" fillId="5" borderId="1" xfId="40" applyNumberFormat="1" applyFont="1" applyFill="1" applyBorder="1" applyAlignment="1">
      <alignment vertical="center" wrapText="1"/>
    </xf>
    <xf numFmtId="178" fontId="12" fillId="0" borderId="1" xfId="40" applyFont="1" applyBorder="1" applyAlignment="1">
      <alignment horizontal="center" vertical="center" wrapText="1"/>
    </xf>
    <xf numFmtId="178" fontId="37" fillId="5" borderId="1" xfId="40" applyFont="1" applyFill="1" applyBorder="1" applyAlignment="1">
      <alignment vertical="center" wrapText="1"/>
    </xf>
    <xf numFmtId="178" fontId="34" fillId="0" borderId="0" xfId="26" applyFont="1" applyAlignment="1">
      <alignment horizontal="left"/>
    </xf>
    <xf numFmtId="0" fontId="34" fillId="0" borderId="1" xfId="36" applyFont="1" applyBorder="1" applyAlignment="1">
      <alignment vertical="center" wrapText="1"/>
    </xf>
    <xf numFmtId="178" fontId="35" fillId="0" borderId="1" xfId="40" applyFont="1" applyFill="1" applyBorder="1" applyAlignment="1">
      <alignment horizontal="center" vertical="center"/>
    </xf>
    <xf numFmtId="178" fontId="35" fillId="0" borderId="1" xfId="41" applyFont="1" applyBorder="1" applyAlignment="1">
      <alignment horizontal="center" vertical="center"/>
    </xf>
    <xf numFmtId="178" fontId="12" fillId="0" borderId="1" xfId="41" applyFont="1" applyBorder="1" applyAlignment="1">
      <alignment horizontal="center" vertical="center" wrapText="1"/>
    </xf>
    <xf numFmtId="178" fontId="34" fillId="0" borderId="1" xfId="41" applyFont="1" applyBorder="1" applyAlignment="1">
      <alignment vertical="center" wrapText="1"/>
    </xf>
    <xf numFmtId="178" fontId="35" fillId="5" borderId="1" xfId="41" applyFont="1" applyFill="1" applyBorder="1" applyAlignment="1">
      <alignment horizontal="center" vertical="center" wrapText="1"/>
    </xf>
    <xf numFmtId="178" fontId="37" fillId="5" borderId="1" xfId="41" applyFont="1" applyFill="1" applyBorder="1" applyAlignment="1">
      <alignment vertical="center" wrapText="1"/>
    </xf>
    <xf numFmtId="0" fontId="34" fillId="0" borderId="1" xfId="41" applyNumberFormat="1" applyFont="1" applyBorder="1" applyAlignment="1">
      <alignment vertical="center" wrapText="1"/>
    </xf>
    <xf numFmtId="178" fontId="34" fillId="0" borderId="0" xfId="41" applyFont="1"/>
    <xf numFmtId="0" fontId="12" fillId="5" borderId="1" xfId="36" applyFont="1" applyFill="1" applyBorder="1" applyAlignment="1">
      <alignment horizontal="center" vertical="center" wrapText="1"/>
    </xf>
    <xf numFmtId="178" fontId="35" fillId="0" borderId="1" xfId="41" applyFont="1" applyBorder="1" applyAlignment="1">
      <alignment horizontal="center" vertical="center" wrapText="1"/>
    </xf>
    <xf numFmtId="178" fontId="34" fillId="0" borderId="1" xfId="41" applyFont="1" applyBorder="1"/>
    <xf numFmtId="178" fontId="34" fillId="0" borderId="1" xfId="41" applyFont="1" applyBorder="1" applyAlignment="1">
      <alignment vertical="center"/>
    </xf>
    <xf numFmtId="178" fontId="12" fillId="5" borderId="1" xfId="41" applyFont="1" applyFill="1" applyBorder="1" applyAlignment="1">
      <alignment horizontal="center" vertical="center" wrapText="1"/>
    </xf>
    <xf numFmtId="178" fontId="35" fillId="5" borderId="1" xfId="41" applyFont="1" applyFill="1" applyBorder="1" applyAlignment="1">
      <alignment vertical="center" wrapText="1"/>
    </xf>
    <xf numFmtId="178" fontId="39" fillId="0" borderId="1" xfId="41" applyFont="1" applyBorder="1" applyAlignment="1">
      <alignment horizontal="center" vertical="center"/>
    </xf>
    <xf numFmtId="178" fontId="40" fillId="0" borderId="1" xfId="41" applyFont="1" applyBorder="1" applyAlignment="1">
      <alignment horizontal="center" vertical="center" wrapText="1"/>
    </xf>
    <xf numFmtId="178" fontId="41" fillId="0" borderId="1" xfId="41" applyFont="1" applyBorder="1" applyAlignment="1">
      <alignment vertical="center" wrapText="1"/>
    </xf>
    <xf numFmtId="178" fontId="39" fillId="0" borderId="1" xfId="41" applyFont="1" applyBorder="1" applyAlignment="1">
      <alignment horizontal="center" vertical="center" wrapText="1"/>
    </xf>
    <xf numFmtId="178" fontId="34" fillId="0" borderId="1" xfId="41" applyFont="1" applyBorder="1" applyAlignment="1">
      <alignment horizontal="center" vertical="center"/>
    </xf>
    <xf numFmtId="178" fontId="34" fillId="0" borderId="1" xfId="26" applyFont="1" applyBorder="1"/>
    <xf numFmtId="178" fontId="34" fillId="0" borderId="1" xfId="26" applyFont="1" applyBorder="1" applyAlignment="1">
      <alignment horizontal="center" vertical="center"/>
    </xf>
    <xf numFmtId="178" fontId="33" fillId="0" borderId="1" xfId="26" applyFont="1" applyBorder="1" applyAlignment="1">
      <alignment wrapText="1"/>
    </xf>
    <xf numFmtId="178" fontId="39" fillId="8" borderId="1" xfId="41" applyFont="1" applyFill="1" applyBorder="1" applyAlignment="1">
      <alignment horizontal="center" vertical="center"/>
    </xf>
    <xf numFmtId="178" fontId="41" fillId="8" borderId="1" xfId="41" applyFont="1" applyFill="1" applyBorder="1" applyAlignment="1">
      <alignment horizontal="center" vertical="center"/>
    </xf>
    <xf numFmtId="178" fontId="41" fillId="0" borderId="1" xfId="41" applyFont="1" applyFill="1" applyBorder="1" applyAlignment="1">
      <alignment vertical="center" wrapText="1"/>
    </xf>
    <xf numFmtId="178" fontId="35" fillId="0" borderId="1" xfId="41" applyFont="1" applyFill="1" applyBorder="1" applyAlignment="1">
      <alignment horizontal="center" vertical="center"/>
    </xf>
    <xf numFmtId="178" fontId="12" fillId="0" borderId="1" xfId="41" applyFont="1" applyFill="1" applyBorder="1" applyAlignment="1">
      <alignment horizontal="center" vertical="center" wrapText="1"/>
    </xf>
    <xf numFmtId="178" fontId="34" fillId="0" borderId="1" xfId="41" applyFont="1" applyFill="1" applyBorder="1" applyAlignment="1">
      <alignment vertical="center" wrapText="1"/>
    </xf>
    <xf numFmtId="178" fontId="35" fillId="0" borderId="1" xfId="41" applyFont="1" applyFill="1" applyBorder="1" applyAlignment="1">
      <alignment horizontal="center" vertical="center" wrapText="1"/>
    </xf>
    <xf numFmtId="0" fontId="35" fillId="0" borderId="1" xfId="36" applyFont="1" applyFill="1" applyBorder="1" applyAlignment="1">
      <alignment horizontal="center" vertical="center" wrapText="1"/>
    </xf>
    <xf numFmtId="178" fontId="37" fillId="0" borderId="1" xfId="41" applyFont="1" applyFill="1" applyBorder="1" applyAlignment="1">
      <alignment vertical="center" wrapText="1"/>
    </xf>
    <xf numFmtId="178" fontId="34" fillId="0" borderId="1" xfId="41" applyFont="1" applyFill="1" applyBorder="1"/>
    <xf numFmtId="178" fontId="34" fillId="0" borderId="1" xfId="41" applyFont="1" applyFill="1" applyBorder="1" applyAlignment="1">
      <alignment horizontal="center" vertical="center"/>
    </xf>
    <xf numFmtId="178" fontId="34" fillId="0" borderId="0" xfId="41" applyFont="1" applyFill="1"/>
    <xf numFmtId="178" fontId="39" fillId="2" borderId="1" xfId="41" applyFont="1" applyFill="1" applyBorder="1" applyAlignment="1">
      <alignment horizontal="center" vertical="center"/>
    </xf>
    <xf numFmtId="178" fontId="35" fillId="0" borderId="1" xfId="42" applyFont="1" applyBorder="1" applyAlignment="1">
      <alignment horizontal="center" vertical="center"/>
    </xf>
    <xf numFmtId="178" fontId="12" fillId="0" borderId="1" xfId="42" applyFont="1" applyBorder="1" applyAlignment="1">
      <alignment horizontal="center" vertical="center" wrapText="1"/>
    </xf>
    <xf numFmtId="178" fontId="34" fillId="0" borderId="1" xfId="42" applyFont="1" applyBorder="1" applyAlignment="1">
      <alignment vertical="center" wrapText="1"/>
    </xf>
    <xf numFmtId="178" fontId="35" fillId="5" borderId="1" xfId="42" applyFont="1" applyFill="1" applyBorder="1" applyAlignment="1">
      <alignment horizontal="center" vertical="center" wrapText="1"/>
    </xf>
    <xf numFmtId="178" fontId="35" fillId="5" borderId="1" xfId="42" applyFont="1" applyFill="1" applyBorder="1" applyAlignment="1">
      <alignment vertical="center" wrapText="1"/>
    </xf>
    <xf numFmtId="178" fontId="34" fillId="0" borderId="1" xfId="42" applyFont="1" applyBorder="1"/>
    <xf numFmtId="178" fontId="34" fillId="0" borderId="1" xfId="42" applyFont="1" applyBorder="1" applyAlignment="1">
      <alignment horizontal="center" vertical="center"/>
    </xf>
    <xf numFmtId="178" fontId="34" fillId="0" borderId="0" xfId="42" applyFont="1"/>
    <xf numFmtId="178" fontId="34" fillId="0" borderId="1" xfId="43" applyFont="1" applyBorder="1" applyAlignment="1">
      <alignment wrapText="1"/>
    </xf>
    <xf numFmtId="178" fontId="35" fillId="0" borderId="1" xfId="43" applyFont="1" applyBorder="1" applyAlignment="1">
      <alignment horizontal="center" vertical="center" wrapText="1"/>
    </xf>
    <xf numFmtId="178" fontId="34" fillId="0" borderId="1" xfId="43" applyFont="1" applyBorder="1"/>
    <xf numFmtId="178" fontId="34" fillId="0" borderId="1" xfId="43" applyFont="1" applyBorder="1" applyAlignment="1">
      <alignment horizontal="center" vertical="center"/>
    </xf>
    <xf numFmtId="178" fontId="34" fillId="0" borderId="0" xfId="43" applyFont="1"/>
    <xf numFmtId="178" fontId="34" fillId="0" borderId="1" xfId="44" applyFont="1" applyBorder="1" applyAlignment="1">
      <alignment vertical="center" wrapText="1"/>
    </xf>
    <xf numFmtId="178" fontId="34" fillId="0" borderId="0" xfId="26" applyFont="1" applyAlignment="1">
      <alignment wrapText="1"/>
    </xf>
    <xf numFmtId="178" fontId="34" fillId="0" borderId="0" xfId="26" applyFont="1" applyAlignment="1">
      <alignment vertical="center"/>
    </xf>
    <xf numFmtId="178" fontId="34" fillId="0" borderId="1" xfId="26" applyFont="1" applyBorder="1" applyAlignment="1">
      <alignment horizontal="left"/>
    </xf>
    <xf numFmtId="178" fontId="34" fillId="0" borderId="0" xfId="26" applyFont="1" applyAlignment="1">
      <alignment horizontal="left" vertical="center"/>
    </xf>
    <xf numFmtId="0" fontId="34" fillId="5" borderId="1" xfId="36" applyFont="1" applyFill="1" applyBorder="1" applyAlignment="1">
      <alignment horizontal="left" vertical="center" wrapText="1"/>
    </xf>
    <xf numFmtId="0" fontId="14" fillId="2" borderId="47" xfId="1" applyFont="1" applyFill="1" applyBorder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14" fillId="2" borderId="48" xfId="1" applyFont="1" applyFill="1" applyBorder="1" applyAlignment="1">
      <alignment horizontal="center" vertical="center"/>
    </xf>
    <xf numFmtId="0" fontId="17" fillId="2" borderId="41" xfId="1" applyFont="1" applyFill="1" applyBorder="1" applyAlignment="1">
      <alignment horizontal="center" vertical="center" wrapText="1"/>
    </xf>
    <xf numFmtId="0" fontId="17" fillId="2" borderId="43" xfId="1" applyFont="1" applyFill="1" applyBorder="1" applyAlignment="1">
      <alignment horizontal="center" vertical="center" wrapText="1"/>
    </xf>
    <xf numFmtId="0" fontId="15" fillId="2" borderId="47" xfId="1" applyFont="1" applyFill="1" applyBorder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5" fillId="2" borderId="48" xfId="1" applyFont="1" applyFill="1" applyBorder="1" applyAlignment="1">
      <alignment horizontal="center" vertical="center"/>
    </xf>
    <xf numFmtId="0" fontId="17" fillId="2" borderId="47" xfId="1" applyFont="1" applyFill="1" applyBorder="1" applyAlignment="1">
      <alignment horizontal="center" vertical="center"/>
    </xf>
    <xf numFmtId="0" fontId="17" fillId="0" borderId="49" xfId="1" applyFont="1" applyBorder="1" applyAlignment="1">
      <alignment horizontal="center" vertical="center" wrapText="1"/>
    </xf>
    <xf numFmtId="0" fontId="17" fillId="0" borderId="53" xfId="1" applyFont="1" applyBorder="1" applyAlignment="1">
      <alignment horizontal="center" vertical="center" wrapText="1"/>
    </xf>
    <xf numFmtId="0" fontId="17" fillId="0" borderId="50" xfId="1" applyFont="1" applyBorder="1" applyAlignment="1">
      <alignment horizontal="center" vertical="center" wrapText="1"/>
    </xf>
    <xf numFmtId="0" fontId="17" fillId="0" borderId="54" xfId="1" applyFont="1" applyBorder="1" applyAlignment="1">
      <alignment horizontal="center" vertical="center" wrapText="1"/>
    </xf>
    <xf numFmtId="0" fontId="17" fillId="0" borderId="51" xfId="1" applyFont="1" applyBorder="1" applyAlignment="1">
      <alignment horizontal="center" vertical="center" wrapText="1"/>
    </xf>
    <xf numFmtId="0" fontId="17" fillId="0" borderId="55" xfId="1" applyFont="1" applyBorder="1" applyAlignment="1">
      <alignment horizontal="center" vertical="center" wrapText="1"/>
    </xf>
    <xf numFmtId="0" fontId="17" fillId="0" borderId="52" xfId="1" applyFont="1" applyBorder="1" applyAlignment="1">
      <alignment horizontal="center" vertical="center" wrapText="1"/>
    </xf>
    <xf numFmtId="0" fontId="17" fillId="0" borderId="56" xfId="1" applyFont="1" applyBorder="1" applyAlignment="1">
      <alignment horizontal="center" vertical="center" wrapText="1"/>
    </xf>
    <xf numFmtId="0" fontId="17" fillId="0" borderId="57" xfId="1" applyFont="1" applyBorder="1" applyAlignment="1">
      <alignment horizontal="center" vertical="center" wrapText="1"/>
    </xf>
    <xf numFmtId="0" fontId="17" fillId="0" borderId="54" xfId="1" applyFont="1" applyBorder="1" applyAlignment="1">
      <alignment vertical="center" wrapText="1"/>
    </xf>
    <xf numFmtId="0" fontId="17" fillId="0" borderId="58" xfId="1" applyFont="1" applyBorder="1" applyAlignment="1">
      <alignment horizontal="center" vertical="center" wrapText="1"/>
    </xf>
    <xf numFmtId="0" fontId="17" fillId="0" borderId="61" xfId="1" applyFont="1" applyBorder="1" applyAlignment="1">
      <alignment horizontal="center" vertical="center" wrapText="1"/>
    </xf>
    <xf numFmtId="0" fontId="17" fillId="0" borderId="62" xfId="1" applyFont="1" applyBorder="1" applyAlignment="1">
      <alignment horizontal="center" vertical="center" wrapText="1"/>
    </xf>
    <xf numFmtId="0" fontId="17" fillId="0" borderId="63" xfId="1" applyFont="1" applyBorder="1" applyAlignment="1">
      <alignment horizontal="center" vertical="center" wrapText="1"/>
    </xf>
    <xf numFmtId="0" fontId="17" fillId="0" borderId="60" xfId="1" applyFont="1" applyBorder="1" applyAlignment="1">
      <alignment horizontal="center" vertical="center" wrapText="1"/>
    </xf>
    <xf numFmtId="0" fontId="17" fillId="0" borderId="64" xfId="1" applyFont="1" applyBorder="1" applyAlignment="1">
      <alignment horizontal="center" vertical="center" wrapText="1"/>
    </xf>
    <xf numFmtId="0" fontId="17" fillId="0" borderId="59" xfId="1" applyFont="1" applyBorder="1" applyAlignment="1">
      <alignment horizontal="left" vertical="center" wrapText="1"/>
    </xf>
    <xf numFmtId="0" fontId="17" fillId="0" borderId="60" xfId="1" applyFont="1" applyBorder="1" applyAlignment="1">
      <alignment horizontal="left" vertical="center" wrapText="1"/>
    </xf>
    <xf numFmtId="0" fontId="17" fillId="0" borderId="58" xfId="1" applyFont="1" applyBorder="1" applyAlignment="1">
      <alignment horizontal="left" vertical="center" wrapText="1"/>
    </xf>
    <xf numFmtId="0" fontId="17" fillId="0" borderId="55" xfId="1" applyFont="1" applyBorder="1" applyAlignment="1">
      <alignment horizontal="left" vertical="center" wrapText="1"/>
    </xf>
    <xf numFmtId="0" fontId="17" fillId="0" borderId="59" xfId="1" applyFont="1" applyBorder="1" applyAlignment="1">
      <alignment horizontal="center" vertical="center" wrapText="1"/>
    </xf>
    <xf numFmtId="0" fontId="14" fillId="4" borderId="10" xfId="5" applyFont="1" applyFill="1" applyBorder="1" applyAlignment="1">
      <alignment horizontal="center" vertical="center" wrapText="1"/>
    </xf>
    <xf numFmtId="0" fontId="14" fillId="4" borderId="11" xfId="5" applyFont="1" applyFill="1" applyBorder="1" applyAlignment="1">
      <alignment horizontal="center" vertical="center" wrapText="1"/>
    </xf>
    <xf numFmtId="0" fontId="14" fillId="4" borderId="12" xfId="5" applyFont="1" applyFill="1" applyBorder="1" applyAlignment="1">
      <alignment horizontal="center" vertical="center" wrapText="1"/>
    </xf>
    <xf numFmtId="177" fontId="28" fillId="0" borderId="1" xfId="21" applyFont="1" applyFill="1" applyBorder="1" applyAlignment="1">
      <alignment horizontal="center" vertical="center" wrapText="1"/>
    </xf>
    <xf numFmtId="0" fontId="14" fillId="3" borderId="1" xfId="4" applyFont="1" applyFill="1" applyBorder="1" applyAlignment="1">
      <alignment horizontal="center" vertical="center"/>
    </xf>
    <xf numFmtId="177" fontId="17" fillId="0" borderId="1" xfId="21" applyFont="1" applyFill="1" applyBorder="1" applyAlignment="1">
      <alignment horizontal="center" vertical="center" wrapText="1"/>
    </xf>
    <xf numFmtId="177" fontId="28" fillId="0" borderId="6" xfId="21" applyFont="1" applyBorder="1" applyAlignment="1">
      <alignment horizontal="center" vertical="center" wrapText="1"/>
    </xf>
    <xf numFmtId="177" fontId="28" fillId="0" borderId="20" xfId="21" applyFont="1" applyBorder="1" applyAlignment="1">
      <alignment horizontal="center" vertical="center" wrapText="1"/>
    </xf>
    <xf numFmtId="177" fontId="28" fillId="0" borderId="21" xfId="21" applyFont="1" applyBorder="1" applyAlignment="1">
      <alignment horizontal="center" vertical="center" wrapText="1"/>
    </xf>
    <xf numFmtId="0" fontId="14" fillId="3" borderId="6" xfId="24" applyFont="1" applyFill="1" applyBorder="1" applyAlignment="1">
      <alignment horizontal="center" vertical="center"/>
    </xf>
    <xf numFmtId="0" fontId="14" fillId="3" borderId="20" xfId="24" applyFont="1" applyFill="1" applyBorder="1" applyAlignment="1">
      <alignment horizontal="center" vertical="center"/>
    </xf>
    <xf numFmtId="0" fontId="14" fillId="3" borderId="21" xfId="24" applyFont="1" applyFill="1" applyBorder="1" applyAlignment="1">
      <alignment horizontal="center" vertical="center"/>
    </xf>
    <xf numFmtId="177" fontId="28" fillId="4" borderId="1" xfId="21" applyFont="1" applyFill="1" applyBorder="1" applyAlignment="1">
      <alignment horizontal="center" vertical="center"/>
    </xf>
    <xf numFmtId="177" fontId="28" fillId="4" borderId="1" xfId="21" applyFont="1" applyFill="1" applyBorder="1" applyAlignment="1">
      <alignment horizontal="center" vertical="center" wrapText="1"/>
    </xf>
    <xf numFmtId="176" fontId="28" fillId="4" borderId="1" xfId="9" applyNumberFormat="1" applyFont="1" applyFill="1" applyBorder="1" applyAlignment="1">
      <alignment horizontal="center" vertical="center" wrapText="1"/>
    </xf>
    <xf numFmtId="177" fontId="28" fillId="4" borderId="6" xfId="21" applyFont="1" applyFill="1" applyBorder="1" applyAlignment="1">
      <alignment horizontal="center" vertical="center" wrapText="1"/>
    </xf>
    <xf numFmtId="177" fontId="28" fillId="4" borderId="20" xfId="21" applyFont="1" applyFill="1" applyBorder="1" applyAlignment="1">
      <alignment horizontal="center" vertical="center" wrapText="1"/>
    </xf>
    <xf numFmtId="177" fontId="28" fillId="4" borderId="21" xfId="21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20" xfId="0" applyFont="1" applyFill="1" applyBorder="1" applyAlignment="1">
      <alignment horizontal="center" vertical="center" wrapText="1"/>
    </xf>
    <xf numFmtId="0" fontId="28" fillId="4" borderId="21" xfId="0" applyFont="1" applyFill="1" applyBorder="1" applyAlignment="1">
      <alignment horizontal="center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0" fontId="17" fillId="0" borderId="8" xfId="3" applyFont="1" applyBorder="1" applyAlignment="1">
      <alignment horizontal="left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1" fillId="7" borderId="32" xfId="0" applyFont="1" applyFill="1" applyBorder="1" applyAlignment="1">
      <alignment horizontal="center" vertical="center"/>
    </xf>
    <xf numFmtId="0" fontId="28" fillId="4" borderId="31" xfId="0" applyFont="1" applyFill="1" applyBorder="1" applyAlignment="1">
      <alignment horizontal="center" vertical="center" wrapText="1"/>
    </xf>
    <xf numFmtId="0" fontId="28" fillId="4" borderId="32" xfId="0" applyFont="1" applyFill="1" applyBorder="1" applyAlignment="1">
      <alignment horizontal="center" vertical="center" wrapText="1"/>
    </xf>
    <xf numFmtId="0" fontId="20" fillId="0" borderId="24" xfId="12" applyBorder="1" applyAlignment="1">
      <alignment horizontal="center"/>
    </xf>
    <xf numFmtId="0" fontId="20" fillId="0" borderId="34" xfId="12" applyBorder="1" applyAlignment="1">
      <alignment horizontal="center"/>
    </xf>
    <xf numFmtId="0" fontId="20" fillId="0" borderId="1" xfId="12" applyBorder="1" applyAlignment="1">
      <alignment horizontal="center"/>
    </xf>
    <xf numFmtId="0" fontId="20" fillId="0" borderId="26" xfId="12" applyBorder="1" applyAlignment="1">
      <alignment horizontal="center"/>
    </xf>
    <xf numFmtId="0" fontId="20" fillId="0" borderId="7" xfId="12" applyBorder="1" applyAlignment="1">
      <alignment horizontal="center"/>
    </xf>
    <xf numFmtId="0" fontId="20" fillId="0" borderId="8" xfId="12" applyBorder="1" applyAlignment="1">
      <alignment horizontal="center"/>
    </xf>
    <xf numFmtId="0" fontId="17" fillId="0" borderId="2" xfId="3" applyFont="1" applyBorder="1" applyAlignment="1">
      <alignment horizontal="center" vertical="center"/>
    </xf>
    <xf numFmtId="0" fontId="17" fillId="0" borderId="24" xfId="3" applyFont="1" applyBorder="1" applyAlignment="1">
      <alignment horizontal="center" vertical="center"/>
    </xf>
    <xf numFmtId="0" fontId="17" fillId="0" borderId="34" xfId="3" applyFont="1" applyBorder="1" applyAlignment="1">
      <alignment horizontal="center" vertical="center"/>
    </xf>
    <xf numFmtId="0" fontId="20" fillId="0" borderId="35" xfId="12" applyBorder="1" applyAlignment="1">
      <alignment horizontal="center"/>
    </xf>
    <xf numFmtId="0" fontId="20" fillId="0" borderId="36" xfId="12" applyBorder="1" applyAlignment="1">
      <alignment horizontal="center"/>
    </xf>
    <xf numFmtId="178" fontId="34" fillId="0" borderId="1" xfId="42" applyFont="1" applyBorder="1" applyAlignment="1">
      <alignment horizontal="left" vertical="center" wrapText="1"/>
    </xf>
    <xf numFmtId="178" fontId="34" fillId="0" borderId="6" xfId="41" applyFont="1" applyBorder="1" applyAlignment="1">
      <alignment horizontal="left" vertical="center" wrapText="1"/>
    </xf>
    <xf numFmtId="178" fontId="34" fillId="0" borderId="21" xfId="41" applyFont="1" applyBorder="1" applyAlignment="1">
      <alignment horizontal="left" vertical="center" wrapText="1"/>
    </xf>
    <xf numFmtId="178" fontId="34" fillId="0" borderId="1" xfId="41" applyFont="1" applyBorder="1" applyAlignment="1">
      <alignment horizontal="left" vertical="center" wrapText="1"/>
    </xf>
    <xf numFmtId="178" fontId="35" fillId="5" borderId="18" xfId="42" applyFont="1" applyFill="1" applyBorder="1" applyAlignment="1">
      <alignment vertical="center" wrapText="1"/>
    </xf>
    <xf numFmtId="178" fontId="35" fillId="5" borderId="19" xfId="42" applyFont="1" applyFill="1" applyBorder="1" applyAlignment="1">
      <alignment vertical="center" wrapText="1"/>
    </xf>
    <xf numFmtId="0" fontId="7" fillId="0" borderId="19" xfId="36" applyBorder="1" applyAlignment="1">
      <alignment vertical="center" wrapText="1"/>
    </xf>
    <xf numFmtId="0" fontId="7" fillId="0" borderId="24" xfId="36" applyBorder="1" applyAlignment="1">
      <alignment vertical="center" wrapText="1"/>
    </xf>
    <xf numFmtId="178" fontId="34" fillId="0" borderId="1" xfId="43" applyFont="1" applyBorder="1" applyAlignment="1">
      <alignment horizontal="left" vertical="center" wrapText="1"/>
    </xf>
    <xf numFmtId="178" fontId="34" fillId="0" borderId="1" xfId="45" applyFont="1" applyBorder="1" applyAlignment="1">
      <alignment horizontal="left" vertical="center" wrapText="1"/>
    </xf>
    <xf numFmtId="178" fontId="33" fillId="12" borderId="1" xfId="26" applyFont="1" applyFill="1" applyBorder="1" applyAlignment="1">
      <alignment horizontal="left" vertical="center"/>
    </xf>
    <xf numFmtId="178" fontId="33" fillId="12" borderId="6" xfId="26" applyFont="1" applyFill="1" applyBorder="1" applyAlignment="1">
      <alignment horizontal="left" vertical="center"/>
    </xf>
    <xf numFmtId="178" fontId="35" fillId="5" borderId="18" xfId="41" applyFont="1" applyFill="1" applyBorder="1" applyAlignment="1">
      <alignment vertical="center" wrapText="1"/>
    </xf>
    <xf numFmtId="178" fontId="35" fillId="5" borderId="19" xfId="41" applyFont="1" applyFill="1" applyBorder="1" applyAlignment="1">
      <alignment vertical="center" wrapText="1"/>
    </xf>
    <xf numFmtId="178" fontId="35" fillId="5" borderId="24" xfId="41" applyFont="1" applyFill="1" applyBorder="1" applyAlignment="1">
      <alignment vertical="center" wrapText="1"/>
    </xf>
    <xf numFmtId="178" fontId="34" fillId="0" borderId="18" xfId="41" applyFont="1" applyBorder="1" applyAlignment="1">
      <alignment vertical="center" wrapText="1"/>
    </xf>
    <xf numFmtId="178" fontId="34" fillId="0" borderId="19" xfId="41" applyFont="1" applyBorder="1" applyAlignment="1">
      <alignment vertical="center" wrapText="1"/>
    </xf>
    <xf numFmtId="178" fontId="34" fillId="0" borderId="24" xfId="41" applyFont="1" applyBorder="1" applyAlignment="1">
      <alignment vertical="center" wrapText="1"/>
    </xf>
    <xf numFmtId="178" fontId="34" fillId="0" borderId="6" xfId="26" applyFont="1" applyBorder="1" applyAlignment="1">
      <alignment horizontal="left" vertical="center" wrapText="1"/>
    </xf>
    <xf numFmtId="178" fontId="34" fillId="0" borderId="21" xfId="26" applyFont="1" applyBorder="1" applyAlignment="1">
      <alignment horizontal="left" vertical="center" wrapText="1"/>
    </xf>
    <xf numFmtId="178" fontId="34" fillId="0" borderId="6" xfId="39" applyFont="1" applyBorder="1" applyAlignment="1">
      <alignment horizontal="left" vertical="center" wrapText="1"/>
    </xf>
    <xf numFmtId="178" fontId="34" fillId="0" borderId="21" xfId="39" applyFont="1" applyBorder="1" applyAlignment="1">
      <alignment horizontal="left" vertical="center" wrapText="1"/>
    </xf>
    <xf numFmtId="178" fontId="34" fillId="0" borderId="1" xfId="26" applyFont="1" applyBorder="1" applyAlignment="1">
      <alignment horizontal="left" vertical="center" wrapText="1"/>
    </xf>
    <xf numFmtId="178" fontId="34" fillId="0" borderId="1" xfId="39" applyFont="1" applyBorder="1" applyAlignment="1">
      <alignment horizontal="left" vertical="center" wrapText="1"/>
    </xf>
    <xf numFmtId="178" fontId="34" fillId="0" borderId="1" xfId="26" applyFont="1" applyFill="1" applyBorder="1" applyAlignment="1">
      <alignment horizontal="left" vertical="center" wrapText="1"/>
    </xf>
    <xf numFmtId="178" fontId="34" fillId="0" borderId="1" xfId="41" applyFont="1" applyFill="1" applyBorder="1" applyAlignment="1">
      <alignment horizontal="left" vertical="center" wrapText="1"/>
    </xf>
    <xf numFmtId="178" fontId="34" fillId="0" borderId="1" xfId="39" applyFont="1" applyFill="1" applyBorder="1" applyAlignment="1">
      <alignment horizontal="left" vertical="center" wrapText="1"/>
    </xf>
    <xf numFmtId="0" fontId="35" fillId="5" borderId="18" xfId="36" applyFont="1" applyFill="1" applyBorder="1" applyAlignment="1">
      <alignment horizontal="left" vertical="center" wrapText="1"/>
    </xf>
    <xf numFmtId="0" fontId="35" fillId="5" borderId="19" xfId="36" applyFont="1" applyFill="1" applyBorder="1" applyAlignment="1">
      <alignment horizontal="left" vertical="center" wrapText="1"/>
    </xf>
    <xf numFmtId="0" fontId="34" fillId="0" borderId="18" xfId="36" applyFont="1" applyBorder="1" applyAlignment="1">
      <alignment vertical="center" wrapText="1"/>
    </xf>
    <xf numFmtId="0" fontId="34" fillId="0" borderId="19" xfId="36" applyFont="1" applyBorder="1" applyAlignment="1">
      <alignment vertical="center" wrapText="1"/>
    </xf>
    <xf numFmtId="178" fontId="35" fillId="5" borderId="18" xfId="41" applyFont="1" applyFill="1" applyBorder="1" applyAlignment="1">
      <alignment horizontal="center" vertical="center" wrapText="1"/>
    </xf>
    <xf numFmtId="178" fontId="35" fillId="5" borderId="19" xfId="41" applyFont="1" applyFill="1" applyBorder="1" applyAlignment="1">
      <alignment horizontal="center" vertical="center" wrapText="1"/>
    </xf>
    <xf numFmtId="178" fontId="35" fillId="5" borderId="24" xfId="41" applyFont="1" applyFill="1" applyBorder="1" applyAlignment="1">
      <alignment horizontal="center" vertical="center" wrapText="1"/>
    </xf>
    <xf numFmtId="178" fontId="34" fillId="0" borderId="1" xfId="40" applyFont="1" applyBorder="1" applyAlignment="1">
      <alignment horizontal="left" vertical="center" wrapText="1"/>
    </xf>
    <xf numFmtId="178" fontId="34" fillId="0" borderId="6" xfId="40" applyFont="1" applyBorder="1" applyAlignment="1">
      <alignment horizontal="left" vertical="center" wrapText="1"/>
    </xf>
    <xf numFmtId="178" fontId="34" fillId="0" borderId="21" xfId="40" applyFont="1" applyBorder="1" applyAlignment="1">
      <alignment horizontal="left" vertical="center" wrapText="1"/>
    </xf>
    <xf numFmtId="0" fontId="35" fillId="5" borderId="24" xfId="36" applyFont="1" applyFill="1" applyBorder="1" applyAlignment="1">
      <alignment horizontal="left" vertical="center" wrapText="1"/>
    </xf>
    <xf numFmtId="0" fontId="34" fillId="0" borderId="24" xfId="36" applyFont="1" applyBorder="1" applyAlignment="1">
      <alignment vertical="center" wrapText="1"/>
    </xf>
    <xf numFmtId="0" fontId="35" fillId="5" borderId="18" xfId="36" applyFont="1" applyFill="1" applyBorder="1" applyAlignment="1">
      <alignment horizontal="center" vertical="center" wrapText="1"/>
    </xf>
    <xf numFmtId="0" fontId="35" fillId="5" borderId="24" xfId="36" applyFont="1" applyFill="1" applyBorder="1" applyAlignment="1">
      <alignment horizontal="center" vertical="center" wrapText="1"/>
    </xf>
    <xf numFmtId="0" fontId="34" fillId="0" borderId="1" xfId="36" applyFont="1" applyBorder="1" applyAlignment="1">
      <alignment vertical="center" wrapText="1"/>
    </xf>
    <xf numFmtId="0" fontId="34" fillId="0" borderId="6" xfId="30" applyFont="1" applyBorder="1" applyAlignment="1">
      <alignment horizontal="center"/>
    </xf>
    <xf numFmtId="0" fontId="34" fillId="0" borderId="20" xfId="30" applyFont="1" applyBorder="1" applyAlignment="1">
      <alignment horizontal="center"/>
    </xf>
    <xf numFmtId="0" fontId="34" fillId="0" borderId="21" xfId="30" applyFont="1" applyBorder="1" applyAlignment="1">
      <alignment horizontal="center"/>
    </xf>
    <xf numFmtId="9" fontId="34" fillId="10" borderId="6" xfId="35" applyFont="1" applyFill="1" applyBorder="1" applyAlignment="1">
      <alignment horizontal="center" vertical="center"/>
    </xf>
    <xf numFmtId="9" fontId="34" fillId="10" borderId="20" xfId="35" applyFont="1" applyFill="1" applyBorder="1" applyAlignment="1">
      <alignment horizontal="center" vertical="center"/>
    </xf>
    <xf numFmtId="9" fontId="34" fillId="10" borderId="21" xfId="35" applyFont="1" applyFill="1" applyBorder="1" applyAlignment="1">
      <alignment horizontal="center" vertical="center"/>
    </xf>
    <xf numFmtId="178" fontId="12" fillId="10" borderId="6" xfId="26" applyFont="1" applyFill="1" applyBorder="1" applyAlignment="1">
      <alignment horizontal="center" vertical="center" wrapText="1"/>
    </xf>
    <xf numFmtId="178" fontId="12" fillId="10" borderId="21" xfId="26" applyFont="1" applyFill="1" applyBorder="1" applyAlignment="1">
      <alignment horizontal="center" vertical="center" wrapText="1"/>
    </xf>
    <xf numFmtId="178" fontId="35" fillId="9" borderId="6" xfId="26" applyFont="1" applyFill="1" applyBorder="1" applyAlignment="1">
      <alignment horizontal="center" vertical="center" wrapText="1"/>
    </xf>
    <xf numFmtId="178" fontId="35" fillId="9" borderId="21" xfId="26" applyFont="1" applyFill="1" applyBorder="1" applyAlignment="1">
      <alignment horizontal="center" vertical="center" wrapText="1"/>
    </xf>
    <xf numFmtId="178" fontId="33" fillId="11" borderId="1" xfId="26" applyFont="1" applyFill="1" applyBorder="1" applyAlignment="1">
      <alignment horizontal="left" vertical="center" wrapText="1"/>
    </xf>
    <xf numFmtId="178" fontId="33" fillId="11" borderId="1" xfId="26" applyFont="1" applyFill="1" applyBorder="1" applyAlignment="1">
      <alignment horizontal="left" vertical="center"/>
    </xf>
    <xf numFmtId="178" fontId="33" fillId="11" borderId="6" xfId="26" applyFont="1" applyFill="1" applyBorder="1" applyAlignment="1">
      <alignment horizontal="left" vertical="center"/>
    </xf>
    <xf numFmtId="0" fontId="34" fillId="0" borderId="19" xfId="30" applyFont="1" applyBorder="1" applyAlignment="1">
      <alignment horizontal="center" wrapText="1"/>
    </xf>
    <xf numFmtId="0" fontId="34" fillId="0" borderId="24" xfId="30" applyFont="1" applyBorder="1" applyAlignment="1">
      <alignment horizontal="center" wrapText="1"/>
    </xf>
    <xf numFmtId="0" fontId="34" fillId="0" borderId="9" xfId="30" applyFont="1" applyBorder="1" applyAlignment="1">
      <alignment horizontal="center" wrapText="1"/>
    </xf>
    <xf numFmtId="0" fontId="34" fillId="0" borderId="65" xfId="30" applyFont="1" applyBorder="1" applyAlignment="1">
      <alignment horizontal="center" wrapText="1"/>
    </xf>
    <xf numFmtId="0" fontId="34" fillId="0" borderId="66" xfId="30" applyFont="1" applyBorder="1" applyAlignment="1">
      <alignment horizontal="center" wrapText="1"/>
    </xf>
    <xf numFmtId="0" fontId="34" fillId="0" borderId="23" xfId="30" applyFont="1" applyBorder="1" applyAlignment="1">
      <alignment horizontal="center" wrapText="1"/>
    </xf>
    <xf numFmtId="0" fontId="34" fillId="0" borderId="0" xfId="30" applyFont="1" applyBorder="1" applyAlignment="1">
      <alignment horizontal="center" wrapText="1"/>
    </xf>
    <xf numFmtId="0" fontId="34" fillId="0" borderId="22" xfId="30" applyFont="1" applyBorder="1" applyAlignment="1">
      <alignment horizontal="center" wrapText="1"/>
    </xf>
    <xf numFmtId="0" fontId="34" fillId="0" borderId="67" xfId="30" applyFont="1" applyBorder="1" applyAlignment="1">
      <alignment horizontal="center" wrapText="1"/>
    </xf>
    <xf numFmtId="0" fontId="34" fillId="0" borderId="68" xfId="30" applyFont="1" applyBorder="1" applyAlignment="1">
      <alignment horizontal="center" wrapText="1"/>
    </xf>
    <xf numFmtId="0" fontId="34" fillId="0" borderId="2" xfId="30" applyFont="1" applyBorder="1" applyAlignment="1">
      <alignment horizontal="center" wrapText="1"/>
    </xf>
    <xf numFmtId="0" fontId="34" fillId="10" borderId="6" xfId="32" applyNumberFormat="1" applyFont="1" applyFill="1" applyBorder="1" applyAlignment="1">
      <alignment horizontal="center" vertical="center"/>
    </xf>
    <xf numFmtId="0" fontId="34" fillId="10" borderId="20" xfId="32" applyNumberFormat="1" applyFont="1" applyFill="1" applyBorder="1" applyAlignment="1">
      <alignment horizontal="center" vertical="center"/>
    </xf>
    <xf numFmtId="0" fontId="34" fillId="10" borderId="21" xfId="32" applyNumberFormat="1" applyFont="1" applyFill="1" applyBorder="1" applyAlignment="1">
      <alignment horizontal="center" vertical="center"/>
    </xf>
    <xf numFmtId="0" fontId="34" fillId="10" borderId="6" xfId="33" applyFont="1" applyFill="1" applyBorder="1" applyAlignment="1">
      <alignment horizontal="center" vertical="center"/>
    </xf>
    <xf numFmtId="0" fontId="34" fillId="10" borderId="20" xfId="33" applyFont="1" applyFill="1" applyBorder="1" applyAlignment="1">
      <alignment horizontal="center" vertical="center"/>
    </xf>
    <xf numFmtId="0" fontId="34" fillId="10" borderId="21" xfId="33" applyFont="1" applyFill="1" applyBorder="1" applyAlignment="1">
      <alignment horizontal="center" vertical="center"/>
    </xf>
    <xf numFmtId="178" fontId="33" fillId="0" borderId="1" xfId="26" applyFont="1" applyBorder="1" applyAlignment="1">
      <alignment horizontal="center" vertical="center" wrapText="1"/>
    </xf>
    <xf numFmtId="178" fontId="33" fillId="0" borderId="9" xfId="26" applyFont="1" applyBorder="1" applyAlignment="1">
      <alignment horizontal="center" vertical="center" wrapText="1"/>
    </xf>
    <xf numFmtId="178" fontId="33" fillId="0" borderId="65" xfId="26" applyFont="1" applyBorder="1" applyAlignment="1">
      <alignment horizontal="center" vertical="center" wrapText="1"/>
    </xf>
    <xf numFmtId="178" fontId="33" fillId="0" borderId="66" xfId="26" applyFont="1" applyBorder="1" applyAlignment="1">
      <alignment horizontal="center" vertical="center" wrapText="1"/>
    </xf>
    <xf numFmtId="178" fontId="33" fillId="0" borderId="67" xfId="26" applyFont="1" applyBorder="1" applyAlignment="1">
      <alignment horizontal="center" vertical="center" wrapText="1"/>
    </xf>
    <xf numFmtId="178" fontId="33" fillId="0" borderId="68" xfId="26" applyFont="1" applyBorder="1" applyAlignment="1">
      <alignment horizontal="center" vertical="center" wrapText="1"/>
    </xf>
    <xf numFmtId="178" fontId="33" fillId="0" borderId="2" xfId="26" applyFont="1" applyBorder="1" applyAlignment="1">
      <alignment horizontal="center" vertical="center" wrapText="1"/>
    </xf>
    <xf numFmtId="0" fontId="34" fillId="10" borderId="6" xfId="30" applyFont="1" applyFill="1" applyBorder="1" applyAlignment="1">
      <alignment horizontal="center" vertical="center" wrapText="1"/>
    </xf>
    <xf numFmtId="0" fontId="34" fillId="10" borderId="20" xfId="30" applyFont="1" applyFill="1" applyBorder="1" applyAlignment="1">
      <alignment horizontal="center" vertical="center" wrapText="1"/>
    </xf>
    <xf numFmtId="0" fontId="34" fillId="10" borderId="21" xfId="30" applyFont="1" applyFill="1" applyBorder="1" applyAlignment="1">
      <alignment horizontal="center" vertical="center" wrapText="1"/>
    </xf>
    <xf numFmtId="0" fontId="33" fillId="0" borderId="18" xfId="30" applyFont="1" applyBorder="1" applyAlignment="1">
      <alignment horizontal="center" vertical="center" wrapText="1"/>
    </xf>
    <xf numFmtId="0" fontId="33" fillId="0" borderId="19" xfId="30" applyFont="1" applyBorder="1" applyAlignment="1">
      <alignment horizontal="center" vertical="center" wrapText="1"/>
    </xf>
    <xf numFmtId="0" fontId="33" fillId="0" borderId="24" xfId="30" applyFont="1" applyBorder="1" applyAlignment="1">
      <alignment horizontal="center" vertical="center" wrapText="1"/>
    </xf>
    <xf numFmtId="0" fontId="33" fillId="0" borderId="9" xfId="30" applyFont="1" applyBorder="1" applyAlignment="1">
      <alignment horizontal="center" vertical="center" wrapText="1"/>
    </xf>
    <xf numFmtId="0" fontId="33" fillId="0" borderId="65" xfId="30" applyFont="1" applyBorder="1" applyAlignment="1">
      <alignment horizontal="center" vertical="center" wrapText="1"/>
    </xf>
    <xf numFmtId="0" fontId="33" fillId="0" borderId="66" xfId="30" applyFont="1" applyBorder="1" applyAlignment="1">
      <alignment horizontal="center" vertical="center" wrapText="1"/>
    </xf>
    <xf numFmtId="0" fontId="33" fillId="0" borderId="23" xfId="30" applyFont="1" applyBorder="1" applyAlignment="1">
      <alignment horizontal="center" vertical="center" wrapText="1"/>
    </xf>
    <xf numFmtId="0" fontId="33" fillId="0" borderId="0" xfId="30" applyFont="1" applyBorder="1" applyAlignment="1">
      <alignment horizontal="center" vertical="center" wrapText="1"/>
    </xf>
    <xf numFmtId="0" fontId="33" fillId="0" borderId="22" xfId="30" applyFont="1" applyBorder="1" applyAlignment="1">
      <alignment horizontal="center" vertical="center" wrapText="1"/>
    </xf>
    <xf numFmtId="0" fontId="33" fillId="0" borderId="67" xfId="30" applyFont="1" applyBorder="1" applyAlignment="1">
      <alignment horizontal="center" vertical="center" wrapText="1"/>
    </xf>
    <xf numFmtId="0" fontId="33" fillId="0" borderId="68" xfId="30" applyFont="1" applyBorder="1" applyAlignment="1">
      <alignment horizontal="center" vertical="center" wrapText="1"/>
    </xf>
    <xf numFmtId="0" fontId="33" fillId="0" borderId="2" xfId="30" applyFont="1" applyBorder="1" applyAlignment="1">
      <alignment horizontal="center" vertical="center" wrapText="1"/>
    </xf>
    <xf numFmtId="178" fontId="33" fillId="0" borderId="9" xfId="26" applyFont="1" applyBorder="1" applyAlignment="1">
      <alignment horizontal="center" vertical="center"/>
    </xf>
    <xf numFmtId="178" fontId="33" fillId="0" borderId="65" xfId="26" applyFont="1" applyBorder="1" applyAlignment="1">
      <alignment horizontal="center" vertical="center"/>
    </xf>
    <xf numFmtId="178" fontId="33" fillId="0" borderId="65" xfId="26" applyFont="1" applyBorder="1" applyAlignment="1">
      <alignment horizontal="left" vertical="center"/>
    </xf>
    <xf numFmtId="178" fontId="33" fillId="0" borderId="66" xfId="26" applyFont="1" applyBorder="1" applyAlignment="1">
      <alignment horizontal="center" vertical="center"/>
    </xf>
    <xf numFmtId="178" fontId="33" fillId="0" borderId="67" xfId="26" applyFont="1" applyBorder="1" applyAlignment="1">
      <alignment horizontal="center" vertical="center"/>
    </xf>
    <xf numFmtId="178" fontId="33" fillId="0" borderId="68" xfId="26" applyFont="1" applyBorder="1" applyAlignment="1">
      <alignment horizontal="center" vertical="center"/>
    </xf>
    <xf numFmtId="178" fontId="33" fillId="0" borderId="2" xfId="26" applyFont="1" applyBorder="1" applyAlignment="1">
      <alignment horizontal="center" vertical="center"/>
    </xf>
    <xf numFmtId="178" fontId="33" fillId="0" borderId="24" xfId="26" applyFont="1" applyBorder="1" applyAlignment="1">
      <alignment horizontal="center" vertical="center" wrapText="1"/>
    </xf>
    <xf numFmtId="178" fontId="33" fillId="10" borderId="6" xfId="26" applyFont="1" applyFill="1" applyBorder="1" applyAlignment="1">
      <alignment horizontal="center" vertical="center"/>
    </xf>
    <xf numFmtId="178" fontId="33" fillId="10" borderId="20" xfId="26" applyFont="1" applyFill="1" applyBorder="1" applyAlignment="1">
      <alignment horizontal="center" vertical="center"/>
    </xf>
    <xf numFmtId="178" fontId="33" fillId="10" borderId="21" xfId="26" applyFont="1" applyFill="1" applyBorder="1" applyAlignment="1">
      <alignment horizontal="center" vertical="center"/>
    </xf>
    <xf numFmtId="0" fontId="33" fillId="10" borderId="6" xfId="27" applyFont="1" applyFill="1" applyBorder="1" applyAlignment="1">
      <alignment horizontal="center" vertical="center" wrapText="1"/>
    </xf>
    <xf numFmtId="0" fontId="33" fillId="10" borderId="20" xfId="27" applyFont="1" applyFill="1" applyBorder="1" applyAlignment="1">
      <alignment horizontal="center" vertical="center" wrapText="1"/>
    </xf>
    <xf numFmtId="0" fontId="33" fillId="10" borderId="21" xfId="27" applyFont="1" applyFill="1" applyBorder="1" applyAlignment="1">
      <alignment horizontal="center" vertical="center" wrapText="1"/>
    </xf>
    <xf numFmtId="178" fontId="33" fillId="10" borderId="6" xfId="28" applyFont="1" applyFill="1" applyBorder="1" applyAlignment="1">
      <alignment horizontal="center" vertical="center" wrapText="1"/>
    </xf>
    <xf numFmtId="178" fontId="33" fillId="10" borderId="20" xfId="28" applyFont="1" applyFill="1" applyBorder="1" applyAlignment="1">
      <alignment horizontal="center" vertical="center" wrapText="1"/>
    </xf>
    <xf numFmtId="178" fontId="33" fillId="10" borderId="21" xfId="28" applyFont="1" applyFill="1" applyBorder="1" applyAlignment="1">
      <alignment horizontal="center" vertical="center" wrapText="1"/>
    </xf>
    <xf numFmtId="178" fontId="33" fillId="10" borderId="6" xfId="29" applyFont="1" applyFill="1" applyBorder="1" applyAlignment="1">
      <alignment horizontal="center" vertical="center" wrapText="1"/>
    </xf>
    <xf numFmtId="178" fontId="33" fillId="10" borderId="20" xfId="29" applyFont="1" applyFill="1" applyBorder="1" applyAlignment="1">
      <alignment horizontal="center" vertical="center" wrapText="1"/>
    </xf>
    <xf numFmtId="178" fontId="33" fillId="10" borderId="21" xfId="29" applyFont="1" applyFill="1" applyBorder="1" applyAlignment="1">
      <alignment horizontal="center" vertical="center" wrapText="1"/>
    </xf>
    <xf numFmtId="178" fontId="38" fillId="9" borderId="20" xfId="37" applyFont="1" applyFill="1" applyBorder="1" applyAlignment="1">
      <alignment horizontal="center" vertical="center"/>
    </xf>
    <xf numFmtId="178" fontId="34" fillId="0" borderId="20" xfId="37" applyFont="1" applyBorder="1"/>
    <xf numFmtId="178" fontId="38" fillId="0" borderId="20" xfId="37" applyFont="1" applyBorder="1" applyAlignment="1">
      <alignment horizontal="center" vertical="center"/>
    </xf>
    <xf numFmtId="178" fontId="34" fillId="0" borderId="6" xfId="42" applyFont="1" applyBorder="1" applyAlignment="1">
      <alignment horizontal="left" vertical="center" wrapText="1"/>
    </xf>
    <xf numFmtId="178" fontId="34" fillId="0" borderId="21" xfId="42" applyFont="1" applyBorder="1" applyAlignment="1">
      <alignment horizontal="left" vertical="center" wrapText="1"/>
    </xf>
    <xf numFmtId="178" fontId="33" fillId="12" borderId="20" xfId="26" applyFont="1" applyFill="1" applyBorder="1" applyAlignment="1">
      <alignment horizontal="left" vertical="center"/>
    </xf>
  </cellXfs>
  <cellStyles count="46">
    <cellStyle name="60% - 强调文字颜色 4 2 3 5 5 2" xfId="20" xr:uid="{AFBEE90A-5A01-476E-AFC8-712D4DD8C78A}"/>
    <cellStyle name="百分比" xfId="8" builtinId="5"/>
    <cellStyle name="百分比 10 2 2 2 2 2 2 2 5 2" xfId="35" xr:uid="{35423BF8-9792-4BC3-9028-8BEE90E75782}"/>
    <cellStyle name="常规" xfId="0" builtinId="0"/>
    <cellStyle name="常规 10 2 2" xfId="18" xr:uid="{4442FF22-282D-427A-B653-AFCEE0F61538}"/>
    <cellStyle name="常规 10 3 3 3 2 3 2 2 2 2 2 2 2 2 2 5 2 2 2 2 2" xfId="25" xr:uid="{576DE1DA-C64E-4B81-BC38-BC3499DC014E}"/>
    <cellStyle name="常规 10 6" xfId="14" xr:uid="{B68EF6D8-4E2A-433C-ADAB-7DDEE5BEF206}"/>
    <cellStyle name="常规 11 2 2 2 2 2 2 2 3 2 2 2 2" xfId="40" xr:uid="{A70C80AB-9FE8-4137-AF4B-DC8F55A8CA96}"/>
    <cellStyle name="常规 12 2 2 3 2 2 2 2 2 2" xfId="41" xr:uid="{0084E611-B4CB-4EB5-BB9B-02A06D4CE900}"/>
    <cellStyle name="常规 12 2 2 4 2 2 2 2 2" xfId="42" xr:uid="{E151F7D6-0E5B-4E02-8480-8A2F1B230531}"/>
    <cellStyle name="常规 12 3 3" xfId="21" xr:uid="{5DB501D0-7E14-4334-9E08-D60AC24F8A2D}"/>
    <cellStyle name="常规 13" xfId="19" xr:uid="{0FE9BCA8-1D77-403B-A9D0-59FE0DB31624}"/>
    <cellStyle name="常规 19" xfId="12" xr:uid="{8B49F822-EA62-4A49-81CB-36B5C1704C42}"/>
    <cellStyle name="常规 2" xfId="3" xr:uid="{B6B3B242-A4ED-4D3E-927F-EC622642E0EA}"/>
    <cellStyle name="常规 2 2" xfId="5" xr:uid="{1A352C84-24B1-47BF-BB6A-AED743231704}"/>
    <cellStyle name="常规 2 2 13 2 2 2 2 2 2 2 2 5 2" xfId="32" xr:uid="{9E7A6A4D-B893-4347-997A-6C7CF350DC15}"/>
    <cellStyle name="常规 2 2 2 2" xfId="16" xr:uid="{921FF2B9-6D9F-4A39-A7C3-DEECB4A0EFB9}"/>
    <cellStyle name="常规 2 2 2 2 2 3 4 2 2 2 2 2 2 2 2 2" xfId="39" xr:uid="{BDDC7DC8-8A31-4C7A-938F-505A93FB7F0B}"/>
    <cellStyle name="常规 2 2 2 2 2 3 4 2 2 3 2 2 2 2 2" xfId="45" xr:uid="{653D8FE6-3054-416F-9606-44A60B3E88D1}"/>
    <cellStyle name="常规 2 2 2 2 2 3 6" xfId="13" xr:uid="{6B424BBF-6FD9-4D4B-8AFC-0958E65ADA17}"/>
    <cellStyle name="常规 2 2 5 2 3 2 2 2 2 2 2 2 2 2 2" xfId="38" xr:uid="{28F8C241-105D-4AAD-96ED-B7B7B0023AA9}"/>
    <cellStyle name="常规 2 2 5 2 3 2 2 2 3 3 2 2 2 3 2 2 2" xfId="44" xr:uid="{36581B88-6605-4AE4-865F-CF8588F89886}"/>
    <cellStyle name="常规 2 2 5 2 3 5 2 2 2 2 2 2 2 3 2 2 3" xfId="37" xr:uid="{45AD5463-3CBF-438B-B73E-435F9D01AB99}"/>
    <cellStyle name="常规 2 2 5 2 3 5 2 2 2 2 2 2 6 2" xfId="31" xr:uid="{A4CBD467-0BCB-44D9-9242-C21E68DBA875}"/>
    <cellStyle name="常规 2 2 8 2 2 2 2 2 2 2 2 3 2 3 2 3 2 2 3 3" xfId="29" xr:uid="{A29E7E75-7900-48ED-911C-1A33E96A4A9E}"/>
    <cellStyle name="常规 2 2 8 2 2 2 2 2 2 2 2 3 2 3 2 5 4" xfId="28" xr:uid="{71670834-F387-40F0-8648-9E2039B31322}"/>
    <cellStyle name="常规 3" xfId="4" xr:uid="{A6518CD0-7A23-44C8-9DAD-1BB4C0373513}"/>
    <cellStyle name="常规 3 2" xfId="22" xr:uid="{AD541973-81C2-4487-82D2-E0B5627CE57A}"/>
    <cellStyle name="常规 3 2 2" xfId="24" xr:uid="{35FE57F0-A77F-4FA7-9DC0-6400B00A6B9C}"/>
    <cellStyle name="常规 3 3" xfId="23" xr:uid="{4D6C5D9C-BFBA-47F9-92AA-51BEB6A65FC2}"/>
    <cellStyle name="常规 3 3 5 2 2 4 2 3 2 2 2 2 2 2 4 2" xfId="33" xr:uid="{2BD1CC82-DD8B-4ABB-B369-28E0E9B3A1E0}"/>
    <cellStyle name="常规 3 4 2 2 4 2 2 2 5 3" xfId="34" xr:uid="{1D7A0D18-7404-4B93-82CD-7C6325C30E54}"/>
    <cellStyle name="常规 3 7 2 2 2 2 2 2 2 3 2 2 3 2" xfId="30" xr:uid="{5FCF615C-C8FD-4B5E-B59D-F4E5DE401F08}"/>
    <cellStyle name="常规 4" xfId="6" xr:uid="{DD924E29-9651-4558-A509-1F8C8F9E9EF6}"/>
    <cellStyle name="常规 4 2" xfId="11" xr:uid="{7E849CB3-F951-419F-9121-DFE238299EE1}"/>
    <cellStyle name="常规 4 2 2 2 2 2 2 2 2 2 2 2 2" xfId="36" xr:uid="{698B6000-52AC-408C-AB46-CFD6BA7C8FC3}"/>
    <cellStyle name="常规 4 2 2 2 3 5 3 2 2 2 3 3 2 2 3 3" xfId="27" xr:uid="{D6FD8D13-FD6B-443E-BAB2-9E3DF55DC6CE}"/>
    <cellStyle name="常规 5" xfId="2" xr:uid="{51839ADE-D4F6-AD46-89EC-2C07FA57CEAC}"/>
    <cellStyle name="常规 5 2 4" xfId="9" xr:uid="{83ADEE90-C946-417F-BDD3-278D6C734B46}"/>
    <cellStyle name="常规 6" xfId="1" xr:uid="{A64FAAE9-F0E0-7B4F-8828-8D5FF384A2CF}"/>
    <cellStyle name="常规 7" xfId="7" xr:uid="{B0C1BD24-72E7-4061-A22B-96D2D34BBBD8}"/>
    <cellStyle name="常规 8" xfId="10" xr:uid="{E888E0CE-A48D-44CF-AD9A-9413BD264A1E}"/>
    <cellStyle name="常规 8 2" xfId="15" xr:uid="{5F618980-FE70-4B14-B8E4-5246C49A11FD}"/>
    <cellStyle name="常规 8 2 20" xfId="17" xr:uid="{E902523F-69BD-4C96-BA7D-F1B46595C11B}"/>
    <cellStyle name="常规 8 4 2 2 2 2 2 2 3 3 2 2 2 2" xfId="26" xr:uid="{EEB3103B-09A1-4D74-A130-75210D5AC74B}"/>
    <cellStyle name="常规 8 4 2 3 2 2 2 2 2" xfId="43" xr:uid="{2E17DA24-463B-4475-9861-4F364B52C615}"/>
  </cellStyles>
  <dxfs count="11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 patternType="solid">
          <fgColor indexed="10"/>
          <bgColor indexed="13"/>
        </patternFill>
      </fill>
    </dxf>
    <dxf>
      <font>
        <b/>
        <i val="0"/>
        <color indexed="13"/>
      </font>
      <fill>
        <patternFill patternType="solid">
          <fgColor indexed="10"/>
          <bgColor indexed="10"/>
        </patternFill>
      </fill>
    </dxf>
    <dxf>
      <font>
        <b/>
        <i val="0"/>
      </font>
      <fill>
        <patternFill patternType="solid">
          <fgColor indexed="10"/>
          <bgColor indexed="47"/>
        </patternFill>
      </fill>
    </dxf>
    <dxf>
      <font>
        <b/>
        <i val="0"/>
        <color indexed="13"/>
      </font>
      <fill>
        <patternFill patternType="solid">
          <fgColor indexed="10"/>
          <bgColor indexed="10"/>
        </patternFill>
      </fill>
    </dxf>
    <dxf>
      <font>
        <b/>
        <i val="0"/>
      </font>
      <fill>
        <patternFill patternType="solid">
          <fgColor indexed="10"/>
          <bgColor indexed="13"/>
        </patternFill>
      </fill>
    </dxf>
    <dxf>
      <font>
        <b/>
        <i val="0"/>
      </font>
      <fill>
        <patternFill patternType="solid">
          <fgColor indexed="10"/>
          <bgColor indexed="13"/>
        </patternFill>
      </fill>
    </dxf>
    <dxf>
      <font>
        <b/>
        <i val="0"/>
      </font>
      <fill>
        <patternFill patternType="solid">
          <fgColor indexed="10"/>
          <bgColor indexed="13"/>
        </patternFill>
      </fill>
    </dxf>
    <dxf>
      <font>
        <b/>
        <i val="0"/>
        <color indexed="13"/>
      </font>
      <fill>
        <patternFill patternType="solid">
          <fgColor indexed="10"/>
          <bgColor indexed="10"/>
        </patternFill>
      </fill>
    </dxf>
    <dxf>
      <font>
        <b/>
        <i val="0"/>
      </font>
      <fill>
        <patternFill patternType="solid">
          <fgColor indexed="10"/>
          <bgColor indexed="47"/>
        </patternFill>
      </fill>
    </dxf>
    <dxf>
      <font>
        <b/>
        <i val="0"/>
        <color indexed="13"/>
      </font>
      <fill>
        <patternFill patternType="solid">
          <fgColor indexed="10"/>
          <bgColor indexed="10"/>
        </patternFill>
      </fill>
    </dxf>
    <dxf>
      <font>
        <b/>
        <i val="0"/>
      </font>
      <fill>
        <patternFill patternType="solid">
          <fgColor indexed="10"/>
          <bgColor indexed="13"/>
        </patternFill>
      </fill>
    </dxf>
    <dxf>
      <font>
        <b/>
        <i val="0"/>
      </font>
      <fill>
        <patternFill patternType="solid">
          <fgColor indexed="10"/>
          <bgColor indexed="1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733425</xdr:colOff>
          <xdr:row>9</xdr:row>
          <xdr:rowOff>171450</xdr:rowOff>
        </xdr:from>
        <xdr:to>
          <xdr:col>3</xdr:col>
          <xdr:colOff>1562100</xdr:colOff>
          <xdr:row>11</xdr:row>
          <xdr:rowOff>19050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1209675</xdr:colOff>
          <xdr:row>10</xdr:row>
          <xdr:rowOff>9525</xdr:rowOff>
        </xdr:from>
        <xdr:to>
          <xdr:col>2</xdr:col>
          <xdr:colOff>1581150</xdr:colOff>
          <xdr:row>11</xdr:row>
          <xdr:rowOff>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1514475</xdr:colOff>
          <xdr:row>10</xdr:row>
          <xdr:rowOff>0</xdr:rowOff>
        </xdr:from>
        <xdr:to>
          <xdr:col>2</xdr:col>
          <xdr:colOff>171450</xdr:colOff>
          <xdr:row>10</xdr:row>
          <xdr:rowOff>209550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20</xdr:row>
          <xdr:rowOff>95250</xdr:rowOff>
        </xdr:from>
        <xdr:to>
          <xdr:col>2</xdr:col>
          <xdr:colOff>247650</xdr:colOff>
          <xdr:row>21</xdr:row>
          <xdr:rowOff>95250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552450</xdr:colOff>
          <xdr:row>20</xdr:row>
          <xdr:rowOff>95250</xdr:rowOff>
        </xdr:from>
        <xdr:to>
          <xdr:col>2</xdr:col>
          <xdr:colOff>781050</xdr:colOff>
          <xdr:row>21</xdr:row>
          <xdr:rowOff>104775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1057275</xdr:colOff>
          <xdr:row>20</xdr:row>
          <xdr:rowOff>95250</xdr:rowOff>
        </xdr:from>
        <xdr:to>
          <xdr:col>2</xdr:col>
          <xdr:colOff>1276350</xdr:colOff>
          <xdr:row>21</xdr:row>
          <xdr:rowOff>114300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95250</xdr:rowOff>
        </xdr:from>
        <xdr:to>
          <xdr:col>4</xdr:col>
          <xdr:colOff>219075</xdr:colOff>
          <xdr:row>19</xdr:row>
          <xdr:rowOff>114300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18</xdr:row>
          <xdr:rowOff>95250</xdr:rowOff>
        </xdr:from>
        <xdr:to>
          <xdr:col>4</xdr:col>
          <xdr:colOff>904875</xdr:colOff>
          <xdr:row>19</xdr:row>
          <xdr:rowOff>104775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</xdr:row>
          <xdr:rowOff>104775</xdr:rowOff>
        </xdr:from>
        <xdr:to>
          <xdr:col>2</xdr:col>
          <xdr:colOff>247650</xdr:colOff>
          <xdr:row>19</xdr:row>
          <xdr:rowOff>123825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581025</xdr:colOff>
          <xdr:row>18</xdr:row>
          <xdr:rowOff>104775</xdr:rowOff>
        </xdr:from>
        <xdr:to>
          <xdr:col>2</xdr:col>
          <xdr:colOff>800100</xdr:colOff>
          <xdr:row>19</xdr:row>
          <xdr:rowOff>123825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1123950</xdr:colOff>
          <xdr:row>18</xdr:row>
          <xdr:rowOff>95250</xdr:rowOff>
        </xdr:from>
        <xdr:to>
          <xdr:col>2</xdr:col>
          <xdr:colOff>1343025</xdr:colOff>
          <xdr:row>19</xdr:row>
          <xdr:rowOff>114300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1733550</xdr:colOff>
          <xdr:row>16</xdr:row>
          <xdr:rowOff>200025</xdr:rowOff>
        </xdr:from>
        <xdr:to>
          <xdr:col>4</xdr:col>
          <xdr:colOff>209550</xdr:colOff>
          <xdr:row>18</xdr:row>
          <xdr:rowOff>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857250</xdr:colOff>
          <xdr:row>15</xdr:row>
          <xdr:rowOff>190500</xdr:rowOff>
        </xdr:from>
        <xdr:to>
          <xdr:col>4</xdr:col>
          <xdr:colOff>1085850</xdr:colOff>
          <xdr:row>16</xdr:row>
          <xdr:rowOff>209550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1733550</xdr:colOff>
          <xdr:row>15</xdr:row>
          <xdr:rowOff>200025</xdr:rowOff>
        </xdr:from>
        <xdr:to>
          <xdr:col>4</xdr:col>
          <xdr:colOff>209550</xdr:colOff>
          <xdr:row>17</xdr:row>
          <xdr:rowOff>0</xdr:rowOff>
        </xdr:to>
        <xdr:sp macro="" textlink="">
          <xdr:nvSpPr>
            <xdr:cNvPr id="13326" name="Check Box 14" hidden="1">
              <a:extLst>
                <a:ext uri="{63B3BB69-23CF-44E3-9099-C40C66FF867C}">
                  <a14:compatExt spid="_x0000_s13326"/>
                </a:ext>
                <a:ext uri="{FF2B5EF4-FFF2-40B4-BE49-F238E27FC236}">
                  <a16:creationId xmlns:a16="http://schemas.microsoft.com/office/drawing/2014/main" id="{00000000-0008-0000-0000-00000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857250</xdr:colOff>
          <xdr:row>16</xdr:row>
          <xdr:rowOff>200025</xdr:rowOff>
        </xdr:from>
        <xdr:to>
          <xdr:col>4</xdr:col>
          <xdr:colOff>1076325</xdr:colOff>
          <xdr:row>18</xdr:row>
          <xdr:rowOff>0</xdr:rowOff>
        </xdr:to>
        <xdr:sp macro="" textlink="">
          <xdr:nvSpPr>
            <xdr:cNvPr id="13327" name="Check Box 15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00000000-0008-0000-0000-00000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2" name="Picture 1" descr="foryou 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996" y="195943"/>
          <a:ext cx="377326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67235</xdr:colOff>
      <xdr:row>24</xdr:row>
      <xdr:rowOff>849204</xdr:rowOff>
    </xdr:from>
    <xdr:to>
      <xdr:col>17</xdr:col>
      <xdr:colOff>4208539</xdr:colOff>
      <xdr:row>24</xdr:row>
      <xdr:rowOff>2255803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21882" y="7931322"/>
          <a:ext cx="4141304" cy="1406599"/>
        </a:xfrm>
        <a:prstGeom prst="rect">
          <a:avLst/>
        </a:prstGeom>
      </xdr:spPr>
    </xdr:pic>
    <xdr:clientData/>
  </xdr:twoCellAnchor>
  <xdr:twoCellAnchor editAs="oneCell">
    <xdr:from>
      <xdr:col>17</xdr:col>
      <xdr:colOff>2760815</xdr:colOff>
      <xdr:row>24</xdr:row>
      <xdr:rowOff>750794</xdr:rowOff>
    </xdr:from>
    <xdr:to>
      <xdr:col>17</xdr:col>
      <xdr:colOff>4261539</xdr:colOff>
      <xdr:row>24</xdr:row>
      <xdr:rowOff>1091451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15462" y="7832912"/>
          <a:ext cx="1500724" cy="3406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TW\Desktop\&#24402;&#26723;&#31867;(PLM)\Y1DI01&#27979;&#35797;&#25253;&#21578;_1.1.2\Y1DI01-E-ATR-516&#22522;&#26412;&#21151;&#33021;&#27979;&#35797;&#25253;&#2157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&#36164;&#26009;/&#27979;&#35797;&#25253;&#21578;/C2FF01D-E-ATR-729%20&#22522;&#26412;&#21151;&#33021;&#27979;&#35797;&#25253;&#21578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037;&#20316;&#36164;&#26009;\&#27979;&#35797;&#25253;&#21578;\C2FF01D-E-ATR-729%20&#22522;&#26412;&#21151;&#33021;&#27979;&#35797;&#25253;&#21578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6446;&#36229;\Y1DH22\Y1DH22&#22238;&#24402;&#27979;&#35797;%2012&#26376;1&#26085;\Y1DH22-E-ATRN-006%20&#22522;&#26412;&#21151;&#33021;&#27979;&#35797;&#25253;&#21578;(NOK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dd/Desktop/&#20135;&#21697;&#38656;&#27714;/GEM/Y1QF01/Buglist&#27719;&#24635;/PHC71-E-ATC-134&#22522;&#26412;&#21151;&#33021;&#27979;&#35797;&#29992;&#2036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dd\Desktop\&#20135;&#21697;&#38656;&#27714;\GEM\Y1QF01\Buglist&#27719;&#24635;\PHC71-E-ATC-134&#22522;&#26412;&#21151;&#33021;&#27979;&#35797;&#29992;&#2036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mples\&#26723;&#26696;&#31649;&#29702;\KF006(&#22885;&#26031;&#21345;)\&#21608;&#24635;&#65288;&#26757;&#22836;&#65289;\RecoveredExternalLink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s\&#25105;&#30340;&#25991;&#26723;\Aspice\&#27979;&#35797;&#38382;&#39064;\10.3.16.7\&#24453;&#22788;&#29702;&#30340;&#24037;&#20316;\BOM&#31649;&#29702;&#38382;&#39064;\BOM&#27169;&#26495;&#34920;&#26684;%20QR.RD.067.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s/&#25105;&#30340;&#25991;&#26723;/Aspice/&#27979;&#35797;&#38382;&#39064;/10.3.16.7/&#24453;&#22788;&#29702;&#30340;&#24037;&#20316;/BOM&#31649;&#29702;&#38382;&#39064;/BOM&#27169;&#26495;&#34920;&#26684;%20QR.RD.067.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s\&#25105;&#30340;&#25991;&#26723;\Aspice\&#27979;&#35797;&#38382;&#39064;\Zhangzhongwu\zwz\&#36890;&#29992;&#20844;&#21496;\&#24037;&#31243;&#19981;&#33391;&#27719;&#24635;&#34920;\AB&#24037;&#31243;&#19981;&#33391;&#27719;&#24635;&#3492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s/&#25105;&#30340;&#25991;&#26723;/Aspice/&#27979;&#35797;&#38382;&#39064;/Zhangzhongwu/zwz/&#36890;&#29992;&#20844;&#21496;/&#24037;&#31243;&#19981;&#33391;&#27719;&#24635;&#34920;/AB&#24037;&#31243;&#19981;&#33391;&#27719;&#24635;&#3492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Project/NGI/FIP/SGM_NGI_YFVE_FIP_for_PATAC_2013082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9733;Specification&#9733;\GMWLAN\Diagnostics%20Test\GMW3110%20V1.6%20Test%20Result%20Template%20V1.0__19May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46613\LOCALS~1\Temp\Rar$DI01.360\Projects\FAW\30%20Deliverables\100813%20FAW%20Workshop%20deliverables\test%20matrix%20example%20FAW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46613\LOCALS~1\Temp\Rar$DI01.360\Projects\FAW%20Project\40%20test%20specifications\review\01%20Comfort\102_Comfort_interior_light_110112_V1.1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0.62\&#27773;&#36710;&#30005;&#23376;&#27979;&#35797;&#32452;\Users\34303\AppData\Roaming\E-Mobile\Downloads\&#27979;&#35797;&#25253;&#21578;\LP10041&#39033;&#30446;_LP-HPC060-AA-M0&#20135;&#21697;_&#36719;&#20214;&#21151;&#33021;&#27979;&#35797;&#25253;&#21578;_20231016&#31532;&#22235;&#29256;-&#27719;&#24635;&#29256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105.124\Share\Users\Joii\AppData\Local\Microsoft\Windows\Temporary%20Internet%20Files\Content.Outlook\C7EDGJB1\&#39080;&#22303;&#25913;&#38761;\HONDA&#12522;&#12477;&#12540;&#12473;\&#24773;&#22577;\&#12522;&#12477;&#12540;&#12473;&#31649;&#29702;2005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基本信息"/>
      <sheetName val="测试分析报告"/>
      <sheetName val="Bug list"/>
      <sheetName val="测试清单"/>
      <sheetName val="A1.1 软硬件信息验证"/>
      <sheetName val="A1.2 上电初始化测试"/>
      <sheetName val="A1.3 电源模式转换测试"/>
      <sheetName val="A1.4 按键编码器功能测试"/>
      <sheetName val="A1.5 休眠及工作电流测试"/>
      <sheetName val="A1.6 背光灯显示功能测试"/>
      <sheetName val="A1.7 电气瞬变现象测试"/>
      <sheetName val="测试截图"/>
      <sheetName val="Pulldown menu entries"/>
      <sheetName val="ECU Data"/>
      <sheetName val="Contents"/>
      <sheetName val="A1.5 工作电流测试"/>
      <sheetName val="基本信息 "/>
      <sheetName val="A1.8按键功能测试 "/>
      <sheetName val="IBC_508（NEW）"/>
      <sheetName val="Bug_list"/>
      <sheetName val="A1_1_软硬件信息验证"/>
      <sheetName val="A1_2_上电初始化测试"/>
      <sheetName val="A1_3_电源模式转换测试"/>
      <sheetName val="A1_4_按键编码器功能测试"/>
      <sheetName val="A1_5_休眠及工作电流测试"/>
      <sheetName val="A1_6_背光灯显示功能测试"/>
      <sheetName val="A1_7_电气瞬变现象测试"/>
      <sheetName val="Pulldown_menu_entries"/>
      <sheetName val="ECU_Data"/>
      <sheetName val="A1_5_工作电流测试"/>
      <sheetName val="基本信息_"/>
      <sheetName val="A1_8按键功能测试_"/>
      <sheetName val="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信息 "/>
      <sheetName val="测试分析报告"/>
      <sheetName val="Bug list"/>
      <sheetName val="测试清单"/>
      <sheetName val="A1.1 软硬件信息验证"/>
      <sheetName val="A1.2 上电初始化测试"/>
      <sheetName val="A1.3 电压波动测试"/>
      <sheetName val="A1.4 高频干扰测试"/>
      <sheetName val="A1.5 电源模式转换测试 "/>
      <sheetName val="A1.6 工作电流测试"/>
      <sheetName val="A1.7 按键功能测试"/>
      <sheetName val="A1.8 编码器功能测试 "/>
      <sheetName val="A1.9 背光及指示灯功能测试 "/>
      <sheetName val="A1.10 车身电源模式功能测试"/>
      <sheetName val="A1.11 休眠唤醒功能测试"/>
      <sheetName val="A1.12 硬线输入输出测试"/>
      <sheetName val="A1.13 网络管理测试"/>
      <sheetName val="测试截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信息 "/>
      <sheetName val="测试分析报告"/>
      <sheetName val="Bug list"/>
      <sheetName val="测试清单"/>
      <sheetName val="A1.1 软硬件信息验证"/>
      <sheetName val="A1.2 上电初始化测试"/>
      <sheetName val="A1.3 电压波动测试"/>
      <sheetName val="A1.4 高频干扰测试"/>
      <sheetName val="A1.5 电源模式转换测试 "/>
      <sheetName val="A1.6 工作电流测试"/>
      <sheetName val="A1.7 按键功能测试"/>
      <sheetName val="A1.8 编码器功能测试 "/>
      <sheetName val="A1.9 背光及指示灯功能测试 "/>
      <sheetName val="A1.10 车身电源模式功能测试"/>
      <sheetName val="A1.11 休眠唤醒功能测试"/>
      <sheetName val="A1.12 硬线输入输出测试"/>
      <sheetName val="A1.13 网络管理测试"/>
      <sheetName val="测试截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信息 "/>
      <sheetName val="测试分析报告"/>
      <sheetName val="Bug list"/>
      <sheetName val="测试清单"/>
      <sheetName val="A1.1 软硬件信息验证"/>
      <sheetName val="A1.2 上电初始化测试"/>
      <sheetName val="A1.3 工作电流测试"/>
      <sheetName val="A1.4 RKE功能测试"/>
      <sheetName val="A1.5 PKE功能测试"/>
      <sheetName val="A1.6 高频干扰测试"/>
      <sheetName val="A1.7 IMMO操作测试"/>
      <sheetName val="测试截图"/>
      <sheetName val="附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基本信息"/>
      <sheetName val="测试清单"/>
      <sheetName val="Bug List"/>
      <sheetName val="A1.1 软硬件信息验证"/>
      <sheetName val="A1.2 全工作电压范围测试"/>
      <sheetName val="A1.3 上电初始化测试"/>
      <sheetName val="A1.4 电源模式转换测试"/>
      <sheetName val="A1.5 工作电流测试"/>
      <sheetName val="A1.6 按键动作测试"/>
      <sheetName val="A1.7 背光灯显示功能测试"/>
      <sheetName val="A1.8 开关异常保护测试"/>
      <sheetName val="A1.9 电气瞬变现象测试"/>
      <sheetName val="A1.10 附加EMC测试"/>
      <sheetName val="A1.11 ICD插拔测试"/>
      <sheetName val="A1.12 通信功能测试"/>
      <sheetName val="测试截图"/>
      <sheetName val="Pulldown menu entries"/>
      <sheetName val="ECU Data"/>
      <sheetName val="IBC_508（NEW）"/>
      <sheetName val=""/>
      <sheetName val="A1.2 上电初始化测试"/>
      <sheetName val="A1.3 工作电流测试"/>
      <sheetName val="A1.6 高频干扰测试"/>
      <sheetName val="20"/>
      <sheetName val="Table Items"/>
      <sheetName val="分类数据"/>
      <sheetName val="信息定义"/>
      <sheetName val="1.概述"/>
      <sheetName val="同行评审"/>
      <sheetName val="引言"/>
      <sheetName val="General"/>
      <sheetName val="A1.8按键功能测试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基本信息"/>
      <sheetName val="测试清单"/>
      <sheetName val="Bug List"/>
      <sheetName val="A1.1 软硬件信息验证"/>
      <sheetName val="A1.2 全工作电压范围测试"/>
      <sheetName val="A1.3 上电初始化测试"/>
      <sheetName val="A1.4 电源模式转换测试"/>
      <sheetName val="A1.5 工作电流测试"/>
      <sheetName val="A1.6 按键动作测试"/>
      <sheetName val="A1.7 背光灯显示功能测试"/>
      <sheetName val="A1.8 开关异常保护测试"/>
      <sheetName val="A1.9 电气瞬变现象测试"/>
      <sheetName val="A1.10 附加EMC测试"/>
      <sheetName val="A1.11 ICD插拔测试"/>
      <sheetName val="A1.12 通信功能测试"/>
      <sheetName val="测试截图"/>
      <sheetName val="Pulldown menu entries"/>
      <sheetName val="ECU Data"/>
      <sheetName val="IBC_508（NEW）"/>
      <sheetName val=""/>
      <sheetName val="A1.2 上电初始化测试"/>
      <sheetName val="A1.3 工作电流测试"/>
      <sheetName val="A1.6 高频干扰测试"/>
      <sheetName val="20"/>
      <sheetName val="Table Items"/>
      <sheetName val="分类数据"/>
      <sheetName val="信息定义"/>
      <sheetName val="1.概述"/>
      <sheetName val="同行评审"/>
      <sheetName val="引言"/>
      <sheetName val="General"/>
      <sheetName val="A1.8按键功能测试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修改记录"/>
      <sheetName val="强制需求"/>
      <sheetName val="平台架构"/>
      <sheetName val="信号总表（PCAN）"/>
      <sheetName val="信号总表（BCAN）"/>
      <sheetName val="节点唤醒与休眠源"/>
      <sheetName val="常规应用报文汇总"/>
      <sheetName val="网络管理报文总表"/>
      <sheetName val="诊断报文总表"/>
      <sheetName val="网络管理报文定义"/>
      <sheetName val="参数说明"/>
      <sheetName val="IBC_508（NEW）"/>
      <sheetName val="IBC_553(NEW)"/>
      <sheetName val="IBC_653(NEW)"/>
      <sheetName val="ALS_491"/>
      <sheetName val="EMS_308"/>
      <sheetName val="EMS_312"/>
      <sheetName val="EMS_311"/>
      <sheetName val="SAS_3C3"/>
      <sheetName val="ABS_200"/>
      <sheetName val="ABS_208"/>
      <sheetName val="TCU_418"/>
      <sheetName val="TCU_419"/>
      <sheetName val="PEPS_592"/>
      <sheetName val="BCM_572"/>
      <sheetName val="ESCL_574"/>
      <sheetName val="TPMS_647NEW"/>
      <sheetName val="TPMS_648NEW"/>
      <sheetName val="ATC_6E5"/>
      <sheetName val="PAC_545"/>
      <sheetName val="DVD_5A8"/>
      <sheetName val="路由表"/>
      <sheetName val="Frontpage"/>
      <sheetName val="ECU Data"/>
      <sheetName val="Test Result Overview"/>
      <sheetName val="Node Verification Procedures"/>
      <sheetName val="Sub-Services Physical Addr."/>
      <sheetName val="Sub-Services Functional Addr."/>
      <sheetName val="Timing"/>
      <sheetName val="Programming Requirements"/>
      <sheetName val="Deviation List"/>
      <sheetName val="Pulldown menu entries"/>
      <sheetName val="ChangeLog"/>
      <sheetName val="Macro1"/>
      <sheetName val="基本信息"/>
      <sheetName val="测试清单"/>
      <sheetName val="Bug List"/>
      <sheetName val="A1.1 软硬件信息验证"/>
      <sheetName val="A1.2 全工作电压范围测试"/>
      <sheetName val="A1.3 上电初始化测试"/>
      <sheetName val="A1.4 电源模式转换测试"/>
      <sheetName val="A1.5 工作电流测试"/>
      <sheetName val="A1.6 按键动作测试"/>
      <sheetName val="A1.7 背光灯显示功能测试"/>
      <sheetName val="A1.8 开关异常保护测试"/>
      <sheetName val="A1.9 电气瞬变现象测试"/>
      <sheetName val="A1.10 附加EMC测试"/>
      <sheetName val="A1.11 ICD插拔测试"/>
      <sheetName val="A1.12 通信功能测试"/>
      <sheetName val="测试截图"/>
      <sheetName val="测试分析报告"/>
      <sheetName val="A1.2 上电初始化测试"/>
      <sheetName val="A1.3 电源模式转换测试"/>
      <sheetName val="A1.4 按键编码器功能测试"/>
      <sheetName val="A1.5 休眠及工作电流测试"/>
      <sheetName val="A1.6 背光灯显示功能测试"/>
      <sheetName val="A1.7 电气瞬变现象测试"/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PDB-DEV"/>
      <sheetName val="分类数据"/>
      <sheetName val="CoverSheet"/>
      <sheetName val="电源模块"/>
      <sheetName val="MCU模块"/>
      <sheetName val="PWM模块"/>
      <sheetName val="按键模块"/>
      <sheetName val="对讲机干扰"/>
      <sheetName val="4号脉冲"/>
      <sheetName val="Sheet2"/>
      <sheetName val="HS CAN1"/>
      <sheetName val="HS CAN3"/>
      <sheetName val="HS CAN4"/>
      <sheetName val="HS CAN5"/>
      <sheetName val="HS CAN6"/>
      <sheetName val="HS CAN7"/>
      <sheetName val="HS CAN8"/>
      <sheetName val="HS CAN9"/>
      <sheetName val="Sheet1"/>
      <sheetName val="编码器模块"/>
      <sheetName val="CAN模块"/>
      <sheetName val="7637"/>
      <sheetName val="4 号脉冲"/>
      <sheetName val="对讲机干拢"/>
      <sheetName val="热测试"/>
      <sheetName val="ESD"/>
      <sheetName val="A1.8按键功能测试 "/>
      <sheetName val="General"/>
      <sheetName val="Contents"/>
      <sheetName val=""/>
      <sheetName val="1-6月"/>
      <sheetName val="7-12yue "/>
      <sheetName val="Sheet9"/>
      <sheetName val="1月份"/>
      <sheetName val="2月份"/>
      <sheetName val="3月份"/>
      <sheetName val="4月份"/>
      <sheetName val="5月份"/>
      <sheetName val="6月份"/>
      <sheetName val="110"/>
      <sheetName val="eqpmad2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汇总表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说明"/>
      <sheetName val="销量"/>
      <sheetName val="共享"/>
      <sheetName val="促销活动"/>
      <sheetName val="活动"/>
      <sheetName val="总表"/>
      <sheetName val="XL4Poppy"/>
      <sheetName val="UFPrn20020708110604"/>
      <sheetName val="量具重复性和再现性数据收集表"/>
      <sheetName val="量具重复性和再现性报告"/>
      <sheetName val="Sheet4"/>
      <sheetName val="Sheet5"/>
      <sheetName val="Sheet6"/>
      <sheetName val="Sheet7"/>
      <sheetName val="Sheet8"/>
      <sheetName val="Sheet3"/>
      <sheetName val="All Issues"/>
      <sheetName val="Definition"/>
      <sheetName val="Template - old"/>
      <sheetName val="Template - new"/>
      <sheetName val="A20DTR AWD AT_ 1200rpm"/>
      <sheetName val="A20DTR AWD MT &amp; AT_ 1800rpm"/>
      <sheetName val="A20DTR AWD AT_ 90Hz"/>
      <sheetName val="A16LET - Hissing Noise, high pr"/>
      <sheetName val="A16LET - Hissing Noise, clean"/>
      <sheetName val="3706 - Booming 1800 &amp; 2700"/>
      <sheetName val="3706 - Booming NS cars"/>
      <sheetName val="3706 - Idle boom"/>
      <sheetName val="S&amp;R - calliper rattle - VA"/>
      <sheetName val="S&amp;R - calliper rattle - HA"/>
      <sheetName val="WN - Mirror patch"/>
      <sheetName val="WN - lwr mirror"/>
      <sheetName val="WN - otr belt"/>
      <sheetName val="WN - Door handle"/>
      <sheetName val="WN - B-pillar cvr"/>
      <sheetName val="WN - fixed window"/>
      <sheetName val="WN - Div bar otr"/>
      <sheetName val="WN - Div bar inr"/>
      <sheetName val="PT N&amp;V - U24XE Idle Boom"/>
      <sheetName val="PT N&amp;V - A20DTx TC whine"/>
      <sheetName val="Seat - ventilation fan"/>
      <sheetName val="HVAC L850 AC compressor saw"/>
      <sheetName val="HVAC - Fam. I AC clutch ringing"/>
      <sheetName val="HVAC - TXV closing"/>
      <sheetName val="PT N&amp;V - Fam. I engine sound"/>
      <sheetName val="PT N&amp;V - Diesel knocking noise"/>
      <sheetName val="PT N&amp;V - A20NHT whine noise"/>
      <sheetName val="PT N&amp;V - AF40 growl noise"/>
      <sheetName val="CSS - Horn"/>
      <sheetName val="CSS - Water intr. - Air intake"/>
      <sheetName val="CSS - Water intr. - Carbon can."/>
      <sheetName val="CSS - Water sep. - crome bar"/>
      <sheetName val="Chimes - Bad Blinker Sound"/>
      <sheetName val="CAS - Power Seat Adjuster"/>
      <sheetName val="CAS - Door closing sound"/>
      <sheetName val="CAS - Electrical Park Brake"/>
      <sheetName val="CAS - Central Door Locking"/>
      <sheetName val="PT Noise - Fam. B - howling"/>
      <sheetName val="PT Noise - A20DTx Hiss Noise"/>
      <sheetName val="PT N&amp;V - Air Induction - U24YH"/>
      <sheetName val="PT N&amp;V - Air Induction - U36X"/>
      <sheetName val="S&amp;R - PRV"/>
      <sheetName val="Road Noise -Rear end rush"/>
      <sheetName val="Road noise - front axle"/>
      <sheetName val="Road noise - tire noise"/>
      <sheetName val="PT N&amp;V - A20NHT cough noise"/>
      <sheetName val="PT N&amp;V - L850 homogeneous split"/>
      <sheetName val="PT N&amp;V - L850 tickering"/>
      <sheetName val="PT Noise - WOT - Fam. I"/>
      <sheetName val="PT Noise - WOT - L850 Turbo"/>
      <sheetName val="PT Noise - WOT - Fam. B"/>
      <sheetName val="PT Noise - WOT L850 Nat. Asp."/>
      <sheetName val="Isolation - Fresh Air Inlet"/>
      <sheetName val="Isolation - SGM add-on"/>
      <sheetName val="Isolation - GME add-on"/>
      <sheetName val="Isolation - Body sealing pack"/>
      <sheetName val="Drivetrain - Fam. B - rumbling"/>
      <sheetName val="Drivetrain - AWD - 1800 boom"/>
      <sheetName val="Drivetrain - F40 whine"/>
      <sheetName val="PT N&amp;V - Trans cable - MT"/>
      <sheetName val="PT N&amp;V - Trans cable - AT"/>
      <sheetName val="SAS - HVAC Blower 2nd stage"/>
      <sheetName val="SAS - El. Vacuum Pump noise"/>
      <sheetName val="SAS - FA - 17&quot;+ Judder"/>
      <sheetName val="SAS - HPS Pump Noise JTEKT"/>
      <sheetName val="SAS - HPS pump noise YOUNGSHIN"/>
      <sheetName val="SAS - Steering Shudder"/>
      <sheetName val="SAS - Steering Torque Ripple"/>
      <sheetName val="SAS - Steering Hiss"/>
      <sheetName val="SAS - HVAC Hiss"/>
      <sheetName val="SAS - HVAC Rush"/>
      <sheetName val="SAS - AC compressor noise CSP17"/>
      <sheetName val="HVAC blower noise"/>
      <sheetName val="Road noise on Belgian blocks"/>
      <sheetName val="Drivetrain - Tip in boom"/>
      <sheetName val="PT noise - Excessive WOT boom "/>
      <sheetName val="PT Noise - Exhaust Boom @ Idle"/>
      <sheetName val="SAS - CRFM SBR 400W"/>
      <sheetName val="CRFM - Fan Noise"/>
      <sheetName val="CRFM - Fan Noise 300W GMNA"/>
      <sheetName val="CRFM - Fan Noise 500W GMNA"/>
      <sheetName val="CRFM - Induced Shake"/>
      <sheetName val="SAS - HVAC Flap Adjustment"/>
      <sheetName val="SAS - HVAC Plöpp Noise"/>
      <sheetName val="SAS - Rear Blower - vibration"/>
      <sheetName val="SAS - Rear Blower - airrush"/>
      <sheetName val="SAS - Rear Blower - flutter"/>
      <sheetName val="SAS - Brake Booster Suction"/>
      <sheetName val="SAS - ABS actuation noise"/>
      <sheetName val="Rear Axle - Loose lumbar noise"/>
      <sheetName val="Road Noise - Front End Shake"/>
      <sheetName val="Road Noise - Rear End Rush"/>
      <sheetName val="SAS - FA - 16&quot; brake squeal"/>
      <sheetName val="SAS - FA - 17&quot; brake squeal"/>
      <sheetName val="SAS - FA - 17&quot;+ brake squeal"/>
      <sheetName val="SAS - RA - brake squeal"/>
      <sheetName val="Road noise - tire noise sbn"/>
      <sheetName val="WindNoise"/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基本信息 "/>
      <sheetName val="VersionControl"/>
      <sheetName val="Block Template"/>
      <sheetName val="Research"/>
      <sheetName val="Inputs"/>
      <sheetName val="Outputs"/>
      <sheetName val="Matrix"/>
      <sheetName val="C30D 夜光调节开关 DFMEA"/>
      <sheetName val="DRBFM"/>
      <sheetName val="Notes"/>
      <sheetName val="Scales"/>
      <sheetName val="KCDS"/>
      <sheetName val="Quality Check List"/>
      <sheetName val="Definition of Change Point's"/>
      <sheetName val="Judgment Words"/>
      <sheetName val="兼容性报表"/>
      <sheetName val="Data Definition"/>
      <sheetName val="A1.3 工作电流测试"/>
      <sheetName val="A1.6 高频干扰测试"/>
      <sheetName val="Table Items"/>
      <sheetName val="信息定义"/>
      <sheetName val="引言"/>
      <sheetName val="同行评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机种系列"/>
      <sheetName val="Kalkulation"/>
      <sheetName val="A1.5 工作电流测试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机种系列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記入例"/>
      <sheetName val="IBC_508（NEW）"/>
      <sheetName val="Pulldown menu entries"/>
      <sheetName val="机种系列"/>
      <sheetName val="Kalkulation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記入例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hart"/>
      <sheetName val="FIP "/>
      <sheetName val="FIP Analyze"/>
      <sheetName val="Holidays"/>
      <sheetName val="Dependencies"/>
      <sheetName val="Resource Requirement"/>
      <sheetName val="Revision History"/>
      <sheetName val="Sheet2"/>
      <sheetName val="Sheet6"/>
      <sheetName val="Sheet1"/>
      <sheetName val="剔除周末+节日后的前后对照"/>
      <sheetName val="FIP_"/>
      <sheetName val="FIP_Analyze"/>
      <sheetName val="Resource_Requirement"/>
      <sheetName val="Revision_History"/>
      <sheetName val="FIP_1"/>
      <sheetName val="FIP_Analyze1"/>
      <sheetName val="Resource_Requirement1"/>
      <sheetName val="Revision_History1"/>
      <sheetName val="FIP_2"/>
      <sheetName val="FIP_Analyze2"/>
      <sheetName val="Resource_Requirement2"/>
      <sheetName val="Revision_History2"/>
      <sheetName val="FIP_4"/>
      <sheetName val="FIP_Analyze4"/>
      <sheetName val="Resource_Requirement4"/>
      <sheetName val="Revision_History4"/>
      <sheetName val="FIP_3"/>
      <sheetName val="FIP_Analyze3"/>
      <sheetName val="Resource_Requirement3"/>
      <sheetName val="Revision_History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page"/>
      <sheetName val="ECU Data"/>
      <sheetName val="Test Result Overview"/>
      <sheetName val="Node Verification Procedures"/>
      <sheetName val="Sub-Services Physical Addr."/>
      <sheetName val="Sub-Services Functional Addr."/>
      <sheetName val="Timing"/>
      <sheetName val="Programming Requirements"/>
      <sheetName val="Deviation List"/>
      <sheetName val="Pulldown menu entries"/>
      <sheetName val="ChangeLog"/>
      <sheetName val="测试截图"/>
      <sheetName val="A1.2 上电初始化测试"/>
      <sheetName val="A1.3 工作电流测试"/>
      <sheetName val="A1.6 高频干扰测试"/>
      <sheetName val="IBC_508（NEW）"/>
      <sheetName val="General"/>
      <sheetName val="A1.5 工作电流测试"/>
      <sheetName val="A1.8按键功能测试 "/>
      <sheetName val="A1.8按键功能测试"/>
      <sheetName val="ECU_Data"/>
      <sheetName val="Test_Result_Overview"/>
      <sheetName val="Node_Verification_Procedures"/>
      <sheetName val="Sub-Services_Physical_Addr_"/>
      <sheetName val="Sub-Services_Functional_Addr_"/>
      <sheetName val="Programming_Requirements"/>
      <sheetName val="Deviation_List"/>
      <sheetName val="Pulldown_menu_entries"/>
      <sheetName val="A1_2_上电初始化测试"/>
      <sheetName val="A1_3_工作电流测试"/>
      <sheetName val="A1_6_高频干扰测试"/>
      <sheetName val="A1_5_工作电流测试"/>
      <sheetName val="A1_8按键功能测试_"/>
      <sheetName val="A1_8按键功能测试"/>
      <sheetName val="引言"/>
      <sheetName val="同行评审"/>
      <sheetName val="信息定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ssary"/>
      <sheetName val="test matrix"/>
      <sheetName val="definitions"/>
      <sheetName val="change requests"/>
      <sheetName val="DataType"/>
      <sheetName val="Q_PRJ_PROJECTS_REP_All143439535"/>
      <sheetName val="test matrix example FAW"/>
      <sheetName val="FeatureList&amp;EE"/>
      <sheetName val="Data"/>
      <sheetName val="Feature List"/>
      <sheetName val="要件分析表"/>
      <sheetName val="test_matrix"/>
      <sheetName val="change_requests"/>
      <sheetName val="test_matrix_example_FAW"/>
      <sheetName val="Feature_List"/>
      <sheetName val="test_matrix2"/>
      <sheetName val="change_requests2"/>
      <sheetName val="test_matrix_example_FAW2"/>
      <sheetName val="Feature_List2"/>
      <sheetName val="test_matrix1"/>
      <sheetName val="change_requests1"/>
      <sheetName val="test_matrix_example_FAW1"/>
      <sheetName val="Feature_List1"/>
      <sheetName val="検索条件メイク"/>
      <sheetName val="m_Ausgab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and History"/>
      <sheetName val="glossary"/>
      <sheetName val="Test Execution Configuration"/>
      <sheetName val="test case specification"/>
      <sheetName val="change requests"/>
      <sheetName val="definitions"/>
      <sheetName val="FeatureList&amp;EE"/>
      <sheetName val="Data"/>
      <sheetName val="宁波合同"/>
      <sheetName val="要件分析表"/>
      <sheetName val="Title_and_History"/>
      <sheetName val="Test_Execution_Configuration"/>
      <sheetName val="test_case_specification"/>
      <sheetName val="change_requests"/>
      <sheetName val="Title_and_History2"/>
      <sheetName val="Test_Execution_Configuration2"/>
      <sheetName val="test_case_specification2"/>
      <sheetName val="change_requests2"/>
      <sheetName val="Title_and_History1"/>
      <sheetName val="Test_Execution_Configuration1"/>
      <sheetName val="test_case_specification1"/>
      <sheetName val="change_requests1"/>
      <sheetName val="Feature List"/>
      <sheetName val="封面"/>
      <sheetName val="修改记录"/>
      <sheetName val="强制需求"/>
      <sheetName val="平台架构"/>
      <sheetName val="信号总表（PCAN）"/>
      <sheetName val="信号总表（BCAN）"/>
      <sheetName val="节点唤醒与休眠源"/>
      <sheetName val="常规应用报文汇总"/>
      <sheetName val="网络管理报文总表"/>
      <sheetName val="诊断报文总表"/>
      <sheetName val="网络管理报文定义"/>
      <sheetName val="参数说明"/>
      <sheetName val="IBC_508（NEW）"/>
      <sheetName val="IBC_553(NEW)"/>
      <sheetName val="IBC_653(NEW)"/>
      <sheetName val="ALS_491"/>
      <sheetName val="EMS_308"/>
      <sheetName val="EMS_312"/>
      <sheetName val="EMS_311"/>
      <sheetName val="SAS_3C3"/>
      <sheetName val="ABS_200"/>
      <sheetName val="ABS_208"/>
      <sheetName val="TCU_418"/>
      <sheetName val="TCU_419"/>
      <sheetName val="PEPS_592"/>
      <sheetName val="BCM_572"/>
      <sheetName val="ESCL_574"/>
      <sheetName val="TPMS_647NEW"/>
      <sheetName val="TPMS_648NEW"/>
      <sheetName val="ATC_6E5"/>
      <sheetName val="PAC_545"/>
      <sheetName val="DVD_5A8"/>
      <sheetName val="路由表"/>
      <sheetName val="A1.5 工作电流测试"/>
      <sheetName val="DataTypes"/>
      <sheetName val="验收状态"/>
      <sheetName val="Data Type"/>
      <sheetName val="ADAS1_Matrix_CANFD"/>
      <sheetName val="test matrix"/>
      <sheetName val="DataType"/>
      <sheetName val="Q_PRJ_PROJECTS_REP_All143439535"/>
      <sheetName val="test matrix example FAW"/>
      <sheetName val="m_Ausgabe"/>
    </sheetNames>
    <sheetDataSet>
      <sheetData sheetId="0" refreshError="1"/>
      <sheetData sheetId="1">
        <row r="7">
          <cell r="C7" t="str">
            <v xml:space="preserve">Function </v>
          </cell>
        </row>
        <row r="8">
          <cell r="C8" t="str">
            <v>Feature</v>
          </cell>
        </row>
        <row r="9">
          <cell r="C9" t="str">
            <v>Test Case</v>
          </cell>
        </row>
        <row r="10">
          <cell r="C10" t="str">
            <v>Precondition</v>
          </cell>
        </row>
        <row r="11">
          <cell r="C11" t="str">
            <v>Test step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测试委托信息"/>
      <sheetName val="修改点测试结果-VCU"/>
      <sheetName val="修改点测试结果-BCM"/>
      <sheetName val="修改点测试结果-GW"/>
      <sheetName val="测试汇总"/>
      <sheetName val="测试覆盖率-GW"/>
      <sheetName val="测试覆盖率-VCU"/>
      <sheetName val="测试覆盖率-BCM"/>
      <sheetName val="回归问题清单"/>
      <sheetName val="遗留问题清单"/>
      <sheetName val="功能测试项目-VCU"/>
      <sheetName val="功能测试项目-BCM"/>
      <sheetName val="功能测试项目-GW"/>
      <sheetName val="专项测试项目"/>
      <sheetName val="问题严重等级说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手順"/>
      <sheetName val="記入方法"/>
      <sheetName val="部付SO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Graph正派比率"/>
      <sheetName val="正派比率"/>
      <sheetName val="Graph部付SO"/>
      <sheetName val="GraphS1"/>
      <sheetName val="GraphS2"/>
      <sheetName val="GraphS3"/>
      <sheetName val="GraphS4"/>
      <sheetName val="GraphS5"/>
      <sheetName val="GraphS6"/>
      <sheetName val="GraphS7"/>
      <sheetName val="GraphS8"/>
      <sheetName val="GraphS9"/>
      <sheetName val="GraphS10"/>
      <sheetName val="GraphOEM設計部"/>
      <sheetName val="ALL_OEM"/>
      <sheetName val="リスト"/>
      <sheetName val="管理者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B996-75E4-494C-83E0-36AE776D7ED6}">
  <dimension ref="B1:E23"/>
  <sheetViews>
    <sheetView showGridLines="0" zoomScaleNormal="100" zoomScalePageLayoutView="60" workbookViewId="0">
      <selection activeCell="E5" sqref="E5"/>
    </sheetView>
  </sheetViews>
  <sheetFormatPr defaultColWidth="8.625" defaultRowHeight="17.25"/>
  <cols>
    <col min="1" max="1" width="1.5" style="85" customWidth="1"/>
    <col min="2" max="2" width="18.875" style="85" customWidth="1"/>
    <col min="3" max="3" width="21.625" style="85" customWidth="1"/>
    <col min="4" max="4" width="18.875" style="85" customWidth="1"/>
    <col min="5" max="5" width="22.875" style="85" customWidth="1"/>
    <col min="6" max="16384" width="8.625" style="85"/>
  </cols>
  <sheetData>
    <row r="1" spans="2:5" ht="18" thickBot="1"/>
    <row r="2" spans="2:5" ht="16.899999999999999" customHeight="1" thickTop="1" thickBot="1">
      <c r="B2" s="197" t="s">
        <v>137</v>
      </c>
      <c r="C2" s="197" t="s">
        <v>134</v>
      </c>
      <c r="D2" s="86" t="s">
        <v>88</v>
      </c>
      <c r="E2" s="86" t="s">
        <v>135</v>
      </c>
    </row>
    <row r="3" spans="2:5" ht="16.899999999999999" customHeight="1" thickTop="1" thickBot="1">
      <c r="B3" s="198"/>
      <c r="C3" s="198"/>
      <c r="D3" s="86" t="s">
        <v>89</v>
      </c>
      <c r="E3" s="86" t="s">
        <v>136</v>
      </c>
    </row>
    <row r="4" spans="2:5" ht="16.899999999999999" customHeight="1" thickTop="1" thickBot="1">
      <c r="B4" s="198"/>
      <c r="C4" s="198"/>
      <c r="D4" s="87" t="s">
        <v>90</v>
      </c>
      <c r="E4" s="87" t="s">
        <v>10</v>
      </c>
    </row>
    <row r="5" spans="2:5" ht="18" thickTop="1">
      <c r="B5" s="88"/>
      <c r="C5" s="89"/>
      <c r="D5" s="89"/>
      <c r="E5" s="90"/>
    </row>
    <row r="6" spans="2:5" ht="18">
      <c r="B6" s="199"/>
      <c r="C6" s="200"/>
      <c r="D6" s="200"/>
      <c r="E6" s="201"/>
    </row>
    <row r="7" spans="2:5" ht="18">
      <c r="B7" s="199" t="s">
        <v>119</v>
      </c>
      <c r="C7" s="200"/>
      <c r="D7" s="200"/>
      <c r="E7" s="201"/>
    </row>
    <row r="8" spans="2:5">
      <c r="B8" s="91"/>
      <c r="E8" s="92"/>
    </row>
    <row r="9" spans="2:5">
      <c r="B9" s="91"/>
      <c r="E9" s="92"/>
    </row>
    <row r="10" spans="2:5">
      <c r="B10" s="202" t="s">
        <v>91</v>
      </c>
      <c r="C10" s="195"/>
      <c r="D10" s="195"/>
      <c r="E10" s="196"/>
    </row>
    <row r="11" spans="2:5">
      <c r="B11" s="194" t="s">
        <v>92</v>
      </c>
      <c r="C11" s="195"/>
      <c r="D11" s="195"/>
      <c r="E11" s="196"/>
    </row>
    <row r="12" spans="2:5" ht="18" thickBot="1">
      <c r="B12" s="91"/>
      <c r="E12" s="92"/>
    </row>
    <row r="13" spans="2:5" ht="16.899999999999999" customHeight="1" thickTop="1" thickBot="1">
      <c r="B13" s="203" t="s">
        <v>93</v>
      </c>
      <c r="C13" s="205" t="s">
        <v>120</v>
      </c>
      <c r="D13" s="207" t="s">
        <v>94</v>
      </c>
      <c r="E13" s="209" t="s">
        <v>121</v>
      </c>
    </row>
    <row r="14" spans="2:5" ht="16.899999999999999" customHeight="1" thickBot="1">
      <c r="B14" s="204"/>
      <c r="C14" s="206"/>
      <c r="D14" s="208"/>
      <c r="E14" s="210"/>
    </row>
    <row r="15" spans="2:5" ht="16.899999999999999" customHeight="1" thickBot="1">
      <c r="B15" s="211" t="s">
        <v>95</v>
      </c>
      <c r="C15" s="212"/>
      <c r="D15" s="213" t="s">
        <v>96</v>
      </c>
      <c r="E15" s="210"/>
    </row>
    <row r="16" spans="2:5" ht="16.899999999999999" customHeight="1" thickBot="1">
      <c r="B16" s="204"/>
      <c r="C16" s="212"/>
      <c r="D16" s="208"/>
      <c r="E16" s="210"/>
    </row>
    <row r="17" spans="2:5" ht="16.899999999999999" customHeight="1" thickBot="1">
      <c r="B17" s="211" t="s">
        <v>97</v>
      </c>
      <c r="C17" s="212"/>
      <c r="D17" s="213" t="s">
        <v>98</v>
      </c>
      <c r="E17" s="219" t="s">
        <v>99</v>
      </c>
    </row>
    <row r="18" spans="2:5" ht="16.899999999999999" customHeight="1" thickBot="1">
      <c r="B18" s="204"/>
      <c r="C18" s="212"/>
      <c r="D18" s="208"/>
      <c r="E18" s="220"/>
    </row>
    <row r="19" spans="2:5" ht="16.899999999999999" customHeight="1">
      <c r="B19" s="211" t="s">
        <v>100</v>
      </c>
      <c r="C19" s="221" t="s">
        <v>101</v>
      </c>
      <c r="D19" s="213" t="s">
        <v>102</v>
      </c>
      <c r="E19" s="223" t="s">
        <v>103</v>
      </c>
    </row>
    <row r="20" spans="2:5" ht="16.899999999999999" customHeight="1" thickBot="1">
      <c r="B20" s="204"/>
      <c r="C20" s="222"/>
      <c r="D20" s="208"/>
      <c r="E20" s="217"/>
    </row>
    <row r="21" spans="2:5" ht="16.899999999999999" customHeight="1" thickBot="1">
      <c r="B21" s="211" t="s">
        <v>104</v>
      </c>
      <c r="C21" s="208" t="s">
        <v>105</v>
      </c>
      <c r="D21" s="213" t="s">
        <v>106</v>
      </c>
      <c r="E21" s="217" t="s">
        <v>107</v>
      </c>
    </row>
    <row r="22" spans="2:5" ht="16.899999999999999" customHeight="1" thickBot="1">
      <c r="B22" s="214"/>
      <c r="C22" s="215"/>
      <c r="D22" s="216"/>
      <c r="E22" s="218"/>
    </row>
    <row r="23" spans="2:5" ht="18" thickTop="1"/>
  </sheetData>
  <mergeCells count="26">
    <mergeCell ref="B21:B22"/>
    <mergeCell ref="C21:C22"/>
    <mergeCell ref="D21:D22"/>
    <mergeCell ref="E21:E22"/>
    <mergeCell ref="B17:B18"/>
    <mergeCell ref="C17:C18"/>
    <mergeCell ref="D17:D18"/>
    <mergeCell ref="E17:E18"/>
    <mergeCell ref="B19:B20"/>
    <mergeCell ref="C19:C20"/>
    <mergeCell ref="D19:D20"/>
    <mergeCell ref="E19:E20"/>
    <mergeCell ref="B13:B14"/>
    <mergeCell ref="C13:C14"/>
    <mergeCell ref="D13:D14"/>
    <mergeCell ref="E13:E14"/>
    <mergeCell ref="B15:B16"/>
    <mergeCell ref="C15:C16"/>
    <mergeCell ref="D15:D16"/>
    <mergeCell ref="E15:E16"/>
    <mergeCell ref="B11:E11"/>
    <mergeCell ref="B2:B4"/>
    <mergeCell ref="C2:C4"/>
    <mergeCell ref="B6:E6"/>
    <mergeCell ref="B7:E7"/>
    <mergeCell ref="B10:E10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2" orientation="portrait" r:id="rId1"/>
  <headerFooter>
    <oddFooter>&amp;C&amp;"宋体,常规"©本文知识产权归上海亚远景信息科技有限公司所有，未经允许不得转载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3</xdr:col>
                    <xdr:colOff>733425</xdr:colOff>
                    <xdr:row>9</xdr:row>
                    <xdr:rowOff>171450</xdr:rowOff>
                  </from>
                  <to>
                    <xdr:col>3</xdr:col>
                    <xdr:colOff>1562100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Fill="0" autoLine="0" autoPict="0">
                <anchor moveWithCells="1">
                  <from>
                    <xdr:col>2</xdr:col>
                    <xdr:colOff>1209675</xdr:colOff>
                    <xdr:row>10</xdr:row>
                    <xdr:rowOff>9525</xdr:rowOff>
                  </from>
                  <to>
                    <xdr:col>2</xdr:col>
                    <xdr:colOff>1581150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Fill="0" autoLine="0" autoPict="0">
                <anchor moveWithCells="1">
                  <from>
                    <xdr:col>1</xdr:col>
                    <xdr:colOff>1514475</xdr:colOff>
                    <xdr:row>10</xdr:row>
                    <xdr:rowOff>0</xdr:rowOff>
                  </from>
                  <to>
                    <xdr:col>2</xdr:col>
                    <xdr:colOff>171450</xdr:colOff>
                    <xdr:row>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Fill="0" autoLine="0" autoPict="0">
                <anchor moveWithCells="1">
                  <from>
                    <xdr:col>2</xdr:col>
                    <xdr:colOff>28575</xdr:colOff>
                    <xdr:row>20</xdr:row>
                    <xdr:rowOff>95250</xdr:rowOff>
                  </from>
                  <to>
                    <xdr:col>2</xdr:col>
                    <xdr:colOff>247650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Fill="0" autoLine="0" autoPict="0">
                <anchor moveWithCells="1">
                  <from>
                    <xdr:col>2</xdr:col>
                    <xdr:colOff>552450</xdr:colOff>
                    <xdr:row>20</xdr:row>
                    <xdr:rowOff>95250</xdr:rowOff>
                  </from>
                  <to>
                    <xdr:col>2</xdr:col>
                    <xdr:colOff>781050</xdr:colOff>
                    <xdr:row>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Fill="0" autoLine="0" autoPict="0">
                <anchor moveWithCells="1">
                  <from>
                    <xdr:col>2</xdr:col>
                    <xdr:colOff>1057275</xdr:colOff>
                    <xdr:row>20</xdr:row>
                    <xdr:rowOff>95250</xdr:rowOff>
                  </from>
                  <to>
                    <xdr:col>2</xdr:col>
                    <xdr:colOff>1276350</xdr:colOff>
                    <xdr:row>21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Fill="0" autoLine="0" autoPict="0">
                <anchor moveWithCells="1">
                  <from>
                    <xdr:col>4</xdr:col>
                    <xdr:colOff>0</xdr:colOff>
                    <xdr:row>18</xdr:row>
                    <xdr:rowOff>95250</xdr:rowOff>
                  </from>
                  <to>
                    <xdr:col>4</xdr:col>
                    <xdr:colOff>219075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Fill="0" autoLine="0" autoPict="0">
                <anchor moveWithCells="1">
                  <from>
                    <xdr:col>4</xdr:col>
                    <xdr:colOff>685800</xdr:colOff>
                    <xdr:row>18</xdr:row>
                    <xdr:rowOff>95250</xdr:rowOff>
                  </from>
                  <to>
                    <xdr:col>4</xdr:col>
                    <xdr:colOff>904875</xdr:colOff>
                    <xdr:row>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Fill="0" autoLine="0" autoPict="0">
                <anchor moveWithCells="1">
                  <from>
                    <xdr:col>2</xdr:col>
                    <xdr:colOff>19050</xdr:colOff>
                    <xdr:row>18</xdr:row>
                    <xdr:rowOff>104775</xdr:rowOff>
                  </from>
                  <to>
                    <xdr:col>2</xdr:col>
                    <xdr:colOff>247650</xdr:colOff>
                    <xdr:row>19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Fill="0" autoLine="0" autoPict="0">
                <anchor moveWithCells="1">
                  <from>
                    <xdr:col>2</xdr:col>
                    <xdr:colOff>581025</xdr:colOff>
                    <xdr:row>18</xdr:row>
                    <xdr:rowOff>104775</xdr:rowOff>
                  </from>
                  <to>
                    <xdr:col>2</xdr:col>
                    <xdr:colOff>800100</xdr:colOff>
                    <xdr:row>19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Fill="0" autoLine="0" autoPict="0">
                <anchor moveWithCells="1">
                  <from>
                    <xdr:col>2</xdr:col>
                    <xdr:colOff>1123950</xdr:colOff>
                    <xdr:row>18</xdr:row>
                    <xdr:rowOff>95250</xdr:rowOff>
                  </from>
                  <to>
                    <xdr:col>2</xdr:col>
                    <xdr:colOff>1343025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Fill="0" autoLine="0" autoPict="0">
                <anchor moveWithCells="1">
                  <from>
                    <xdr:col>3</xdr:col>
                    <xdr:colOff>1733550</xdr:colOff>
                    <xdr:row>16</xdr:row>
                    <xdr:rowOff>200025</xdr:rowOff>
                  </from>
                  <to>
                    <xdr:col>4</xdr:col>
                    <xdr:colOff>209550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Fill="0" autoLine="0" autoPict="0">
                <anchor moveWithCells="1">
                  <from>
                    <xdr:col>4</xdr:col>
                    <xdr:colOff>857250</xdr:colOff>
                    <xdr:row>15</xdr:row>
                    <xdr:rowOff>190500</xdr:rowOff>
                  </from>
                  <to>
                    <xdr:col>4</xdr:col>
                    <xdr:colOff>1085850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7" name="Check Box 14">
              <controlPr defaultSize="0" autoFill="0" autoLine="0" autoPict="0">
                <anchor moveWithCells="1">
                  <from>
                    <xdr:col>3</xdr:col>
                    <xdr:colOff>1733550</xdr:colOff>
                    <xdr:row>15</xdr:row>
                    <xdr:rowOff>200025</xdr:rowOff>
                  </from>
                  <to>
                    <xdr:col>4</xdr:col>
                    <xdr:colOff>209550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8" name="Check Box 15">
              <controlPr defaultSize="0" autoFill="0" autoLine="0" autoPict="0">
                <anchor moveWithCells="1">
                  <from>
                    <xdr:col>4</xdr:col>
                    <xdr:colOff>857250</xdr:colOff>
                    <xdr:row>16</xdr:row>
                    <xdr:rowOff>200025</xdr:rowOff>
                  </from>
                  <to>
                    <xdr:col>4</xdr:col>
                    <xdr:colOff>1076325</xdr:colOff>
                    <xdr:row>18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ECD3-BE8A-4E10-B4A4-AD041EE2C2AF}">
  <dimension ref="B1:G22"/>
  <sheetViews>
    <sheetView showGridLines="0" view="pageBreakPreview" zoomScaleNormal="100" zoomScaleSheetLayoutView="100" workbookViewId="0">
      <selection activeCell="G13" sqref="G13"/>
    </sheetView>
  </sheetViews>
  <sheetFormatPr defaultColWidth="17.5" defaultRowHeight="35.1" customHeight="1"/>
  <cols>
    <col min="1" max="1" width="3.125" style="1" customWidth="1"/>
    <col min="2" max="6" width="15.625" style="1" customWidth="1"/>
    <col min="7" max="7" width="45.625" style="4" customWidth="1"/>
    <col min="8" max="8" width="2.25" style="1" customWidth="1"/>
    <col min="9" max="16384" width="17.5" style="1"/>
  </cols>
  <sheetData>
    <row r="1" spans="2:7" ht="15" thickBot="1"/>
    <row r="2" spans="2:7" ht="18" thickTop="1">
      <c r="B2" s="224" t="s">
        <v>0</v>
      </c>
      <c r="C2" s="225"/>
      <c r="D2" s="225"/>
      <c r="E2" s="225"/>
      <c r="F2" s="225"/>
      <c r="G2" s="226"/>
    </row>
    <row r="3" spans="2:7" s="2" customFormat="1" ht="17.25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7" t="s">
        <v>6</v>
      </c>
    </row>
    <row r="4" spans="2:7" s="3" customFormat="1" ht="17.25">
      <c r="B4" s="8" t="s">
        <v>122</v>
      </c>
      <c r="C4" s="9">
        <v>45776</v>
      </c>
      <c r="D4" s="10" t="s">
        <v>120</v>
      </c>
      <c r="E4" s="10"/>
      <c r="F4" s="9"/>
      <c r="G4" s="11"/>
    </row>
    <row r="5" spans="2:7" s="3" customFormat="1" ht="17.25">
      <c r="B5" s="8"/>
      <c r="C5" s="9"/>
      <c r="D5" s="10"/>
      <c r="E5" s="10"/>
      <c r="F5" s="9"/>
      <c r="G5" s="12"/>
    </row>
    <row r="6" spans="2:7" s="3" customFormat="1" ht="17.25">
      <c r="B6" s="8"/>
      <c r="C6" s="9"/>
      <c r="D6" s="10"/>
      <c r="E6" s="10"/>
      <c r="F6" s="9"/>
      <c r="G6" s="13"/>
    </row>
    <row r="7" spans="2:7" s="3" customFormat="1" ht="17.25">
      <c r="B7" s="8"/>
      <c r="C7" s="9"/>
      <c r="D7" s="10"/>
      <c r="E7" s="10"/>
      <c r="F7" s="9"/>
      <c r="G7" s="13"/>
    </row>
    <row r="8" spans="2:7" s="3" customFormat="1" ht="17.25">
      <c r="B8" s="8"/>
      <c r="C8" s="9"/>
      <c r="D8" s="10"/>
      <c r="E8" s="10"/>
      <c r="F8" s="9"/>
      <c r="G8" s="13"/>
    </row>
    <row r="9" spans="2:7" s="3" customFormat="1" ht="18" thickBot="1">
      <c r="B9" s="14"/>
      <c r="C9" s="15"/>
      <c r="D9" s="16"/>
      <c r="E9" s="16"/>
      <c r="F9" s="15"/>
      <c r="G9" s="17"/>
    </row>
    <row r="10" spans="2:7" ht="15" customHeight="1" thickTop="1"/>
    <row r="18" spans="7:7" ht="35.1" customHeight="1">
      <c r="G18" s="1"/>
    </row>
    <row r="19" spans="7:7" ht="35.1" customHeight="1">
      <c r="G19" s="1"/>
    </row>
    <row r="20" spans="7:7" ht="35.1" customHeight="1">
      <c r="G20" s="1"/>
    </row>
    <row r="21" spans="7:7" ht="35.1" customHeight="1">
      <c r="G21" s="1"/>
    </row>
    <row r="22" spans="7:7" ht="35.1" customHeight="1">
      <c r="G22" s="1"/>
    </row>
  </sheetData>
  <mergeCells count="1">
    <mergeCell ref="B2:G2"/>
  </mergeCells>
  <phoneticPr fontId="6" type="noConversion"/>
  <printOptions horizontalCentered="1" verticalCentered="1"/>
  <pageMargins left="0" right="0" top="7.874015748031496E-2" bottom="0.03" header="0.12" footer="0"/>
  <pageSetup paperSize="9" scale="96" orientation="landscape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70F8-3982-454A-8468-42732ACD3237}">
  <dimension ref="A2:I26"/>
  <sheetViews>
    <sheetView showGridLines="0" view="pageBreakPreview" zoomScaleNormal="100" zoomScaleSheetLayoutView="100" workbookViewId="0">
      <selection activeCell="G25" sqref="G25:I25"/>
    </sheetView>
  </sheetViews>
  <sheetFormatPr defaultColWidth="7.25" defaultRowHeight="15" customHeight="1"/>
  <cols>
    <col min="1" max="1" width="2.875" style="18" customWidth="1"/>
    <col min="2" max="2" width="11.625" style="18" bestFit="1" customWidth="1"/>
    <col min="3" max="3" width="24.75" style="18" customWidth="1"/>
    <col min="4" max="4" width="11.375" style="18" bestFit="1" customWidth="1"/>
    <col min="5" max="5" width="12.625" style="18" bestFit="1" customWidth="1"/>
    <col min="6" max="6" width="8.625" style="18" bestFit="1" customWidth="1"/>
    <col min="7" max="9" width="7.25" style="18"/>
    <col min="10" max="10" width="2.875" style="18" customWidth="1"/>
    <col min="11" max="16384" width="7.25" style="18"/>
  </cols>
  <sheetData>
    <row r="2" spans="1:9" s="28" customFormat="1" ht="18">
      <c r="B2" s="236" t="s">
        <v>81</v>
      </c>
      <c r="C2" s="236"/>
      <c r="D2" s="236"/>
      <c r="E2" s="236"/>
      <c r="F2" s="236"/>
      <c r="G2" s="236"/>
      <c r="H2" s="236"/>
      <c r="I2" s="236"/>
    </row>
    <row r="3" spans="1:9" s="28" customFormat="1" ht="54">
      <c r="B3" s="81" t="s">
        <v>82</v>
      </c>
      <c r="C3" s="81" t="s">
        <v>83</v>
      </c>
      <c r="D3" s="81" t="s">
        <v>84</v>
      </c>
      <c r="E3" s="81" t="s">
        <v>2</v>
      </c>
      <c r="F3" s="239" t="s">
        <v>39</v>
      </c>
      <c r="G3" s="240"/>
      <c r="H3" s="240"/>
      <c r="I3" s="241"/>
    </row>
    <row r="4" spans="1:9" s="28" customFormat="1" ht="18">
      <c r="B4" s="84">
        <v>1</v>
      </c>
      <c r="C4" s="84" t="s">
        <v>123</v>
      </c>
      <c r="D4" s="84" t="s">
        <v>124</v>
      </c>
      <c r="E4" s="93">
        <v>45708</v>
      </c>
      <c r="F4" s="230"/>
      <c r="G4" s="231"/>
      <c r="H4" s="231"/>
      <c r="I4" s="232"/>
    </row>
    <row r="5" spans="1:9" s="28" customFormat="1" ht="17.25">
      <c r="B5" s="84">
        <v>2</v>
      </c>
      <c r="C5" s="84" t="s">
        <v>125</v>
      </c>
      <c r="D5" s="84" t="s">
        <v>120</v>
      </c>
      <c r="E5" s="93">
        <v>45776</v>
      </c>
      <c r="F5" s="233"/>
      <c r="G5" s="234"/>
      <c r="H5" s="234"/>
      <c r="I5" s="235"/>
    </row>
    <row r="6" spans="1:9" s="28" customFormat="1" ht="18">
      <c r="B6" s="83"/>
      <c r="C6" s="83"/>
      <c r="D6" s="83"/>
      <c r="E6" s="83"/>
      <c r="F6" s="230"/>
      <c r="G6" s="231"/>
      <c r="H6" s="231"/>
      <c r="I6" s="232"/>
    </row>
    <row r="7" spans="1:9" s="28" customFormat="1" ht="17.25">
      <c r="B7" s="84"/>
      <c r="C7" s="84"/>
      <c r="D7" s="84"/>
      <c r="E7" s="84"/>
      <c r="F7" s="233"/>
      <c r="G7" s="234"/>
      <c r="H7" s="234"/>
      <c r="I7" s="235"/>
    </row>
    <row r="8" spans="1:9" s="28" customFormat="1" ht="18">
      <c r="B8" s="83"/>
      <c r="C8" s="83"/>
      <c r="D8" s="83"/>
      <c r="E8" s="83"/>
      <c r="F8" s="230"/>
      <c r="G8" s="231"/>
      <c r="H8" s="231"/>
      <c r="I8" s="232"/>
    </row>
    <row r="9" spans="1:9" s="28" customFormat="1" ht="17.25">
      <c r="B9" s="84"/>
      <c r="C9" s="84"/>
      <c r="D9" s="84"/>
      <c r="E9" s="84"/>
      <c r="F9" s="233"/>
      <c r="G9" s="234"/>
      <c r="H9" s="234"/>
      <c r="I9" s="235"/>
    </row>
    <row r="10" spans="1:9" s="28" customFormat="1" ht="18">
      <c r="B10" s="83"/>
      <c r="C10" s="83"/>
      <c r="D10" s="83"/>
      <c r="E10" s="83"/>
      <c r="F10" s="230"/>
      <c r="G10" s="231"/>
      <c r="H10" s="231"/>
      <c r="I10" s="232"/>
    </row>
    <row r="11" spans="1:9" s="28" customFormat="1" ht="17.25">
      <c r="B11" s="84"/>
      <c r="C11" s="84"/>
      <c r="D11" s="84"/>
      <c r="E11" s="84"/>
      <c r="F11" s="233"/>
      <c r="G11" s="234"/>
      <c r="H11" s="234"/>
      <c r="I11" s="235"/>
    </row>
    <row r="12" spans="1:9" s="28" customFormat="1" ht="18">
      <c r="B12" s="83"/>
      <c r="C12" s="83"/>
      <c r="D12" s="83"/>
      <c r="E12" s="83"/>
      <c r="F12" s="230"/>
      <c r="G12" s="231"/>
      <c r="H12" s="231"/>
      <c r="I12" s="232"/>
    </row>
    <row r="13" spans="1:9" s="28" customFormat="1" ht="16.5">
      <c r="G13" s="18"/>
    </row>
    <row r="14" spans="1:9" s="21" customFormat="1" ht="18">
      <c r="A14" s="28"/>
      <c r="B14" s="238" t="s">
        <v>12</v>
      </c>
      <c r="C14" s="238"/>
      <c r="D14" s="238"/>
      <c r="E14" s="238"/>
      <c r="F14" s="238"/>
      <c r="G14" s="238"/>
      <c r="H14" s="238"/>
      <c r="I14" s="238"/>
    </row>
    <row r="15" spans="1:9" s="21" customFormat="1" ht="36">
      <c r="A15" s="28"/>
      <c r="B15" s="33" t="s">
        <v>13</v>
      </c>
      <c r="C15" s="33" t="s">
        <v>14</v>
      </c>
      <c r="D15" s="33" t="s">
        <v>15</v>
      </c>
      <c r="E15" s="35" t="s">
        <v>16</v>
      </c>
      <c r="F15" s="33" t="s">
        <v>11</v>
      </c>
      <c r="G15" s="237" t="s">
        <v>39</v>
      </c>
      <c r="H15" s="237"/>
      <c r="I15" s="237"/>
    </row>
    <row r="16" spans="1:9" s="21" customFormat="1" ht="18">
      <c r="B16" s="38" t="s">
        <v>17</v>
      </c>
      <c r="C16" s="34"/>
      <c r="D16" s="34"/>
      <c r="E16" s="36"/>
      <c r="F16" s="36"/>
      <c r="G16" s="227"/>
      <c r="H16" s="227"/>
      <c r="I16" s="227"/>
    </row>
    <row r="17" spans="2:9" s="21" customFormat="1" ht="17.25">
      <c r="B17" s="37" t="s">
        <v>18</v>
      </c>
      <c r="C17" s="37"/>
      <c r="D17" s="37"/>
      <c r="E17" s="37"/>
      <c r="F17" s="37"/>
      <c r="G17" s="228"/>
      <c r="H17" s="228"/>
      <c r="I17" s="228"/>
    </row>
    <row r="18" spans="2:9" s="21" customFormat="1" ht="18">
      <c r="B18" s="38" t="s">
        <v>19</v>
      </c>
      <c r="C18" s="34"/>
      <c r="D18" s="34"/>
      <c r="E18" s="36"/>
      <c r="F18" s="36"/>
      <c r="G18" s="227"/>
      <c r="H18" s="227"/>
      <c r="I18" s="227"/>
    </row>
    <row r="19" spans="2:9" s="21" customFormat="1" ht="17.25">
      <c r="B19" s="37" t="s">
        <v>20</v>
      </c>
      <c r="C19" s="37"/>
      <c r="D19" s="37"/>
      <c r="E19" s="37"/>
      <c r="F19" s="37"/>
      <c r="G19" s="228"/>
      <c r="H19" s="228"/>
      <c r="I19" s="228"/>
    </row>
    <row r="20" spans="2:9" s="21" customFormat="1" ht="17.25">
      <c r="B20" s="38" t="s">
        <v>21</v>
      </c>
      <c r="C20" s="34" t="s">
        <v>126</v>
      </c>
      <c r="D20" s="34"/>
      <c r="E20" s="36"/>
      <c r="F20" s="36"/>
      <c r="G20" s="229" t="s">
        <v>129</v>
      </c>
      <c r="H20" s="229"/>
      <c r="I20" s="229"/>
    </row>
    <row r="21" spans="2:9" s="21" customFormat="1" ht="17.25">
      <c r="B21" s="37" t="s">
        <v>22</v>
      </c>
      <c r="C21" s="37"/>
      <c r="D21" s="37"/>
      <c r="E21" s="37"/>
      <c r="F21" s="37"/>
      <c r="G21" s="228"/>
      <c r="H21" s="228"/>
      <c r="I21" s="228"/>
    </row>
    <row r="22" spans="2:9" s="21" customFormat="1" ht="18">
      <c r="B22" s="38" t="s">
        <v>23</v>
      </c>
      <c r="C22" s="34"/>
      <c r="D22" s="34"/>
      <c r="E22" s="36"/>
      <c r="F22" s="36"/>
      <c r="G22" s="227"/>
      <c r="H22" s="227"/>
      <c r="I22" s="227"/>
    </row>
    <row r="23" spans="2:9" s="21" customFormat="1" ht="17.25">
      <c r="B23" s="37" t="s">
        <v>24</v>
      </c>
      <c r="C23" s="37" t="s">
        <v>127</v>
      </c>
      <c r="D23" s="37"/>
      <c r="E23" s="37"/>
      <c r="F23" s="37"/>
      <c r="G23" s="228" t="s">
        <v>130</v>
      </c>
      <c r="H23" s="228"/>
      <c r="I23" s="228"/>
    </row>
    <row r="24" spans="2:9" s="21" customFormat="1" ht="18">
      <c r="B24" s="38" t="s">
        <v>25</v>
      </c>
      <c r="C24" s="34"/>
      <c r="D24" s="34"/>
      <c r="E24" s="36"/>
      <c r="F24" s="36"/>
      <c r="G24" s="227"/>
      <c r="H24" s="227"/>
      <c r="I24" s="227"/>
    </row>
    <row r="25" spans="2:9" s="21" customFormat="1" ht="17.25">
      <c r="B25" s="37" t="s">
        <v>26</v>
      </c>
      <c r="C25" s="37" t="s">
        <v>128</v>
      </c>
      <c r="D25" s="37"/>
      <c r="E25" s="37"/>
      <c r="F25" s="37"/>
      <c r="G25" s="228" t="s">
        <v>131</v>
      </c>
      <c r="H25" s="228"/>
      <c r="I25" s="228"/>
    </row>
    <row r="26" spans="2:9" s="21" customFormat="1" ht="18">
      <c r="B26" s="38" t="s">
        <v>27</v>
      </c>
      <c r="C26" s="34"/>
      <c r="D26" s="34"/>
      <c r="E26" s="36"/>
      <c r="F26" s="36"/>
      <c r="G26" s="227"/>
      <c r="H26" s="227"/>
      <c r="I26" s="227"/>
    </row>
  </sheetData>
  <mergeCells count="24">
    <mergeCell ref="G25:I25"/>
    <mergeCell ref="G26:I26"/>
    <mergeCell ref="B2:I2"/>
    <mergeCell ref="G15:I15"/>
    <mergeCell ref="G22:I22"/>
    <mergeCell ref="G23:I23"/>
    <mergeCell ref="G24:I24"/>
    <mergeCell ref="B14:I14"/>
    <mergeCell ref="G21:I21"/>
    <mergeCell ref="G16:I16"/>
    <mergeCell ref="G17:I17"/>
    <mergeCell ref="F3:I3"/>
    <mergeCell ref="F4:I4"/>
    <mergeCell ref="F5:I5"/>
    <mergeCell ref="F6:I6"/>
    <mergeCell ref="F7:I7"/>
    <mergeCell ref="G18:I18"/>
    <mergeCell ref="G19:I19"/>
    <mergeCell ref="G20:I20"/>
    <mergeCell ref="F8:I8"/>
    <mergeCell ref="F9:I9"/>
    <mergeCell ref="F10:I10"/>
    <mergeCell ref="F11:I11"/>
    <mergeCell ref="F12:I1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horizontalDpi="1200" verticalDpi="1200" r:id="rId1"/>
  <headerFooter>
    <oddFooter>&amp;C&amp;"微软雅黑,常规"©本文知识产权归上海亚远景信息科技有限公司所有，未经允许不得转载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A5E5-F7F6-44F9-B20C-DA7B8F78A690}">
  <sheetPr>
    <outlinePr summaryRight="0"/>
  </sheetPr>
  <dimension ref="B2:S22"/>
  <sheetViews>
    <sheetView showGridLines="0" view="pageBreakPreview" zoomScaleNormal="100" zoomScaleSheetLayoutView="100" workbookViewId="0">
      <selection activeCell="B8" sqref="B8"/>
    </sheetView>
  </sheetViews>
  <sheetFormatPr defaultRowHeight="15.75" outlineLevelCol="2"/>
  <cols>
    <col min="1" max="1" width="2.875" customWidth="1"/>
    <col min="3" max="3" width="13" customWidth="1"/>
    <col min="4" max="4" width="16.25" customWidth="1"/>
    <col min="5" max="10" width="16.25" customWidth="1" outlineLevel="1"/>
    <col min="11" max="11" width="8.625" customWidth="1"/>
    <col min="12" max="13" width="8.625" customWidth="1" outlineLevel="2"/>
    <col min="14" max="16" width="7.875" customWidth="1" outlineLevel="2"/>
    <col min="17" max="17" width="9.125" customWidth="1" outlineLevel="1"/>
    <col min="19" max="19" width="25.25" customWidth="1"/>
    <col min="20" max="20" width="3" customWidth="1"/>
  </cols>
  <sheetData>
    <row r="2" spans="2:19" ht="18">
      <c r="B2" s="242" t="s">
        <v>46</v>
      </c>
      <c r="C2" s="242" t="s">
        <v>87</v>
      </c>
      <c r="D2" s="242" t="s">
        <v>108</v>
      </c>
      <c r="E2" s="242"/>
      <c r="F2" s="242"/>
      <c r="G2" s="242"/>
      <c r="H2" s="242"/>
      <c r="I2" s="242"/>
      <c r="J2" s="242"/>
      <c r="K2" s="243" t="s">
        <v>85</v>
      </c>
      <c r="L2" s="244"/>
      <c r="M2" s="244"/>
      <c r="N2" s="244"/>
      <c r="O2" s="244"/>
      <c r="P2" s="244"/>
      <c r="Q2" s="245"/>
      <c r="R2" s="242" t="s">
        <v>47</v>
      </c>
      <c r="S2" s="242" t="s">
        <v>48</v>
      </c>
    </row>
    <row r="3" spans="2:19" ht="54">
      <c r="B3" s="242"/>
      <c r="C3" s="242"/>
      <c r="D3" s="82" t="s">
        <v>109</v>
      </c>
      <c r="E3" s="82" t="s">
        <v>110</v>
      </c>
      <c r="F3" s="82" t="s">
        <v>111</v>
      </c>
      <c r="G3" s="82" t="s">
        <v>112</v>
      </c>
      <c r="H3" s="82" t="s">
        <v>113</v>
      </c>
      <c r="I3" s="82" t="s">
        <v>48</v>
      </c>
      <c r="J3" s="82" t="s">
        <v>45</v>
      </c>
      <c r="K3" s="39" t="s">
        <v>40</v>
      </c>
      <c r="L3" s="39" t="s">
        <v>41</v>
      </c>
      <c r="M3" s="39" t="s">
        <v>42</v>
      </c>
      <c r="N3" s="39" t="s">
        <v>43</v>
      </c>
      <c r="O3" s="39" t="s">
        <v>44</v>
      </c>
      <c r="P3" s="39" t="s">
        <v>48</v>
      </c>
      <c r="Q3" s="39" t="s">
        <v>45</v>
      </c>
      <c r="R3" s="242"/>
      <c r="S3" s="242"/>
    </row>
    <row r="4" spans="2:19" ht="18">
      <c r="B4" s="39" t="s">
        <v>49</v>
      </c>
      <c r="C4" s="39" t="s">
        <v>51</v>
      </c>
      <c r="D4" s="82" t="s">
        <v>51</v>
      </c>
      <c r="E4" s="82" t="s">
        <v>51</v>
      </c>
      <c r="F4" s="82" t="s">
        <v>51</v>
      </c>
      <c r="G4" s="53">
        <v>1</v>
      </c>
      <c r="H4" s="53">
        <v>1</v>
      </c>
      <c r="I4" s="53" t="s">
        <v>51</v>
      </c>
      <c r="J4" s="82" t="s">
        <v>53</v>
      </c>
      <c r="K4" s="39" t="s">
        <v>51</v>
      </c>
      <c r="L4" s="39" t="s">
        <v>51</v>
      </c>
      <c r="M4" s="39" t="s">
        <v>51</v>
      </c>
      <c r="N4" s="53">
        <v>1</v>
      </c>
      <c r="O4" s="53">
        <v>1</v>
      </c>
      <c r="P4" s="53" t="s">
        <v>51</v>
      </c>
      <c r="Q4" s="39" t="s">
        <v>53</v>
      </c>
      <c r="R4" s="39" t="s">
        <v>53</v>
      </c>
      <c r="S4" s="39" t="s">
        <v>51</v>
      </c>
    </row>
    <row r="5" spans="2:19" ht="17.25">
      <c r="B5" s="40"/>
      <c r="C5" s="40" t="s">
        <v>138</v>
      </c>
      <c r="D5" s="41">
        <v>100</v>
      </c>
      <c r="E5" s="41">
        <v>90</v>
      </c>
      <c r="F5" s="41">
        <v>80</v>
      </c>
      <c r="G5" s="43">
        <f>E5/D5</f>
        <v>0.9</v>
      </c>
      <c r="H5" s="43">
        <f>E5/D5</f>
        <v>0.9</v>
      </c>
      <c r="I5" s="43"/>
      <c r="J5" s="43" t="s">
        <v>52</v>
      </c>
      <c r="K5" s="41">
        <v>100</v>
      </c>
      <c r="L5" s="41">
        <v>90</v>
      </c>
      <c r="M5" s="41">
        <v>80</v>
      </c>
      <c r="N5" s="43">
        <f>L5/K5</f>
        <v>0.9</v>
      </c>
      <c r="O5" s="43">
        <f>M5/L5</f>
        <v>0.88888888888888884</v>
      </c>
      <c r="P5" s="43"/>
      <c r="Q5" s="43" t="s">
        <v>52</v>
      </c>
      <c r="R5" s="47" t="str">
        <f t="shared" ref="R5" si="0">IF(AND(J5="Pass",Q5="Pass"),"Pass","Fail")</f>
        <v>Pass</v>
      </c>
      <c r="S5" s="42"/>
    </row>
    <row r="6" spans="2:19" ht="34.5">
      <c r="B6" s="45"/>
      <c r="C6" s="45" t="s">
        <v>139</v>
      </c>
      <c r="D6" s="45"/>
      <c r="E6" s="45"/>
      <c r="F6" s="46"/>
      <c r="G6" s="46"/>
      <c r="H6" s="46" t="e">
        <f t="shared" ref="H6:H22" si="1">E6/D6</f>
        <v>#DIV/0!</v>
      </c>
      <c r="I6" s="47"/>
      <c r="J6" s="47" t="s">
        <v>54</v>
      </c>
      <c r="K6" s="45"/>
      <c r="L6" s="45"/>
      <c r="M6" s="45"/>
      <c r="N6" s="47" t="e">
        <f t="shared" ref="N6:N11" si="2">L6/K6</f>
        <v>#DIV/0!</v>
      </c>
      <c r="O6" s="47" t="e">
        <f t="shared" ref="O6:O11" si="3">M6/L6</f>
        <v>#DIV/0!</v>
      </c>
      <c r="P6" s="47"/>
      <c r="Q6" s="47" t="s">
        <v>54</v>
      </c>
      <c r="R6" s="47" t="s">
        <v>54</v>
      </c>
      <c r="S6" s="45"/>
    </row>
    <row r="7" spans="2:19" ht="34.5">
      <c r="B7" s="40"/>
      <c r="C7" s="40" t="s">
        <v>140</v>
      </c>
      <c r="D7" s="41"/>
      <c r="E7" s="42"/>
      <c r="F7" s="41"/>
      <c r="G7" s="41"/>
      <c r="H7" s="41" t="e">
        <f t="shared" si="1"/>
        <v>#DIV/0!</v>
      </c>
      <c r="I7" s="43"/>
      <c r="J7" s="43"/>
      <c r="K7" s="41"/>
      <c r="L7" s="41"/>
      <c r="M7" s="41"/>
      <c r="N7" s="43" t="e">
        <f t="shared" si="2"/>
        <v>#DIV/0!</v>
      </c>
      <c r="O7" s="43" t="e">
        <f t="shared" si="3"/>
        <v>#DIV/0!</v>
      </c>
      <c r="P7" s="43"/>
      <c r="Q7" s="43"/>
      <c r="R7" s="43"/>
      <c r="S7" s="42"/>
    </row>
    <row r="8" spans="2:19" ht="34.5">
      <c r="B8" s="45"/>
      <c r="C8" s="45" t="s">
        <v>141</v>
      </c>
      <c r="D8" s="45"/>
      <c r="E8" s="45"/>
      <c r="F8" s="46"/>
      <c r="G8" s="46"/>
      <c r="H8" s="46" t="e">
        <f t="shared" si="1"/>
        <v>#DIV/0!</v>
      </c>
      <c r="I8" s="47"/>
      <c r="J8" s="47"/>
      <c r="K8" s="45"/>
      <c r="L8" s="45"/>
      <c r="M8" s="45"/>
      <c r="N8" s="47" t="e">
        <f t="shared" si="2"/>
        <v>#DIV/0!</v>
      </c>
      <c r="O8" s="47" t="e">
        <f t="shared" si="3"/>
        <v>#DIV/0!</v>
      </c>
      <c r="P8" s="47"/>
      <c r="Q8" s="47"/>
      <c r="R8" s="47"/>
      <c r="S8" s="45"/>
    </row>
    <row r="9" spans="2:19" ht="17.25">
      <c r="B9" s="40"/>
      <c r="C9" s="40" t="s">
        <v>142</v>
      </c>
      <c r="D9" s="41"/>
      <c r="E9" s="42"/>
      <c r="F9" s="41"/>
      <c r="G9" s="41"/>
      <c r="H9" s="41" t="e">
        <f t="shared" si="1"/>
        <v>#DIV/0!</v>
      </c>
      <c r="I9" s="43"/>
      <c r="J9" s="43"/>
      <c r="K9" s="41"/>
      <c r="L9" s="41"/>
      <c r="M9" s="41"/>
      <c r="N9" s="43" t="e">
        <f t="shared" si="2"/>
        <v>#DIV/0!</v>
      </c>
      <c r="O9" s="43" t="e">
        <f t="shared" si="3"/>
        <v>#DIV/0!</v>
      </c>
      <c r="P9" s="43"/>
      <c r="Q9" s="43"/>
      <c r="R9" s="43"/>
      <c r="S9" s="42"/>
    </row>
    <row r="10" spans="2:19" ht="34.5">
      <c r="B10" s="45"/>
      <c r="C10" s="45" t="s">
        <v>143</v>
      </c>
      <c r="D10" s="45"/>
      <c r="E10" s="45"/>
      <c r="F10" s="46"/>
      <c r="G10" s="46"/>
      <c r="H10" s="46" t="e">
        <f t="shared" si="1"/>
        <v>#DIV/0!</v>
      </c>
      <c r="I10" s="47"/>
      <c r="J10" s="47"/>
      <c r="K10" s="45"/>
      <c r="L10" s="45"/>
      <c r="M10" s="45"/>
      <c r="N10" s="47" t="e">
        <f t="shared" si="2"/>
        <v>#DIV/0!</v>
      </c>
      <c r="O10" s="47" t="e">
        <f t="shared" si="3"/>
        <v>#DIV/0!</v>
      </c>
      <c r="P10" s="47"/>
      <c r="Q10" s="47"/>
      <c r="R10" s="47"/>
      <c r="S10" s="45"/>
    </row>
    <row r="11" spans="2:19" ht="34.5">
      <c r="B11" s="40"/>
      <c r="C11" s="40" t="s">
        <v>144</v>
      </c>
      <c r="D11" s="41"/>
      <c r="E11" s="42"/>
      <c r="F11" s="41"/>
      <c r="G11" s="41"/>
      <c r="H11" s="41" t="e">
        <f t="shared" si="1"/>
        <v>#DIV/0!</v>
      </c>
      <c r="I11" s="43"/>
      <c r="J11" s="43"/>
      <c r="K11" s="41"/>
      <c r="L11" s="41"/>
      <c r="M11" s="41"/>
      <c r="N11" s="43" t="e">
        <f t="shared" si="2"/>
        <v>#DIV/0!</v>
      </c>
      <c r="O11" s="43" t="e">
        <f t="shared" si="3"/>
        <v>#DIV/0!</v>
      </c>
      <c r="P11" s="43"/>
      <c r="Q11" s="43"/>
      <c r="R11" s="43"/>
      <c r="S11" s="42"/>
    </row>
    <row r="12" spans="2:19" ht="34.5">
      <c r="B12" s="45"/>
      <c r="C12" s="45" t="s">
        <v>145</v>
      </c>
      <c r="D12" s="45"/>
      <c r="E12" s="45"/>
      <c r="F12" s="46"/>
      <c r="G12" s="46"/>
      <c r="H12" s="46" t="e">
        <f t="shared" si="1"/>
        <v>#DIV/0!</v>
      </c>
      <c r="I12" s="47"/>
      <c r="J12" s="47"/>
      <c r="K12" s="45"/>
      <c r="L12" s="45"/>
      <c r="M12" s="45"/>
      <c r="N12" s="47" t="e">
        <f t="shared" ref="N12:N22" si="4">L12/K12</f>
        <v>#DIV/0!</v>
      </c>
      <c r="O12" s="47" t="e">
        <f t="shared" ref="O12:O22" si="5">M12/L12</f>
        <v>#DIV/0!</v>
      </c>
      <c r="P12" s="47"/>
      <c r="Q12" s="47"/>
      <c r="R12" s="47"/>
      <c r="S12" s="45"/>
    </row>
    <row r="13" spans="2:19" ht="17.25">
      <c r="B13" s="40"/>
      <c r="C13" s="40"/>
      <c r="D13" s="41"/>
      <c r="E13" s="42"/>
      <c r="F13" s="41"/>
      <c r="G13" s="41"/>
      <c r="H13" s="41" t="e">
        <f t="shared" si="1"/>
        <v>#DIV/0!</v>
      </c>
      <c r="I13" s="43"/>
      <c r="J13" s="43"/>
      <c r="K13" s="41"/>
      <c r="L13" s="41"/>
      <c r="M13" s="41"/>
      <c r="N13" s="43" t="e">
        <f t="shared" si="4"/>
        <v>#DIV/0!</v>
      </c>
      <c r="O13" s="43" t="e">
        <f t="shared" si="5"/>
        <v>#DIV/0!</v>
      </c>
      <c r="P13" s="43"/>
      <c r="Q13" s="43"/>
      <c r="R13" s="43"/>
      <c r="S13" s="42"/>
    </row>
    <row r="14" spans="2:19" ht="17.25">
      <c r="B14" s="45"/>
      <c r="C14" s="45"/>
      <c r="D14" s="45"/>
      <c r="E14" s="45"/>
      <c r="F14" s="46"/>
      <c r="G14" s="46"/>
      <c r="H14" s="46" t="e">
        <f t="shared" si="1"/>
        <v>#DIV/0!</v>
      </c>
      <c r="I14" s="47"/>
      <c r="J14" s="47"/>
      <c r="K14" s="45"/>
      <c r="L14" s="45"/>
      <c r="M14" s="45"/>
      <c r="N14" s="47" t="e">
        <f t="shared" si="4"/>
        <v>#DIV/0!</v>
      </c>
      <c r="O14" s="47" t="e">
        <f t="shared" si="5"/>
        <v>#DIV/0!</v>
      </c>
      <c r="P14" s="47"/>
      <c r="Q14" s="47"/>
      <c r="R14" s="47"/>
      <c r="S14" s="45"/>
    </row>
    <row r="15" spans="2:19" ht="17.25">
      <c r="B15" s="40"/>
      <c r="C15" s="40"/>
      <c r="D15" s="41"/>
      <c r="E15" s="42"/>
      <c r="F15" s="41"/>
      <c r="G15" s="41"/>
      <c r="H15" s="41" t="e">
        <f t="shared" si="1"/>
        <v>#DIV/0!</v>
      </c>
      <c r="I15" s="43"/>
      <c r="J15" s="43"/>
      <c r="K15" s="41"/>
      <c r="L15" s="41"/>
      <c r="M15" s="41"/>
      <c r="N15" s="43" t="e">
        <f t="shared" si="4"/>
        <v>#DIV/0!</v>
      </c>
      <c r="O15" s="43" t="e">
        <f t="shared" si="5"/>
        <v>#DIV/0!</v>
      </c>
      <c r="P15" s="43"/>
      <c r="Q15" s="43"/>
      <c r="R15" s="43"/>
      <c r="S15" s="42"/>
    </row>
    <row r="16" spans="2:19" ht="17.25">
      <c r="B16" s="45"/>
      <c r="C16" s="45"/>
      <c r="D16" s="45"/>
      <c r="E16" s="45"/>
      <c r="F16" s="46"/>
      <c r="G16" s="46"/>
      <c r="H16" s="46" t="e">
        <f t="shared" si="1"/>
        <v>#DIV/0!</v>
      </c>
      <c r="I16" s="47"/>
      <c r="J16" s="47"/>
      <c r="K16" s="45"/>
      <c r="L16" s="45"/>
      <c r="M16" s="45"/>
      <c r="N16" s="47" t="e">
        <f t="shared" si="4"/>
        <v>#DIV/0!</v>
      </c>
      <c r="O16" s="47" t="e">
        <f t="shared" si="5"/>
        <v>#DIV/0!</v>
      </c>
      <c r="P16" s="47"/>
      <c r="Q16" s="47"/>
      <c r="R16" s="47"/>
      <c r="S16" s="45"/>
    </row>
    <row r="17" spans="2:19" ht="17.25">
      <c r="B17" s="40"/>
      <c r="C17" s="40"/>
      <c r="D17" s="41"/>
      <c r="E17" s="42"/>
      <c r="F17" s="41"/>
      <c r="G17" s="41"/>
      <c r="H17" s="41" t="e">
        <f t="shared" si="1"/>
        <v>#DIV/0!</v>
      </c>
      <c r="I17" s="43"/>
      <c r="J17" s="43"/>
      <c r="K17" s="41"/>
      <c r="L17" s="41"/>
      <c r="M17" s="41"/>
      <c r="N17" s="43" t="e">
        <f t="shared" si="4"/>
        <v>#DIV/0!</v>
      </c>
      <c r="O17" s="43" t="e">
        <f t="shared" si="5"/>
        <v>#DIV/0!</v>
      </c>
      <c r="P17" s="43"/>
      <c r="Q17" s="43"/>
      <c r="R17" s="43"/>
      <c r="S17" s="42"/>
    </row>
    <row r="18" spans="2:19" ht="17.25">
      <c r="B18" s="45"/>
      <c r="C18" s="45"/>
      <c r="D18" s="45"/>
      <c r="E18" s="45"/>
      <c r="F18" s="46"/>
      <c r="G18" s="46"/>
      <c r="H18" s="46" t="e">
        <f t="shared" si="1"/>
        <v>#DIV/0!</v>
      </c>
      <c r="I18" s="47"/>
      <c r="J18" s="47"/>
      <c r="K18" s="45"/>
      <c r="L18" s="45"/>
      <c r="M18" s="45"/>
      <c r="N18" s="47" t="e">
        <f t="shared" si="4"/>
        <v>#DIV/0!</v>
      </c>
      <c r="O18" s="47" t="e">
        <f t="shared" si="5"/>
        <v>#DIV/0!</v>
      </c>
      <c r="P18" s="47"/>
      <c r="Q18" s="47"/>
      <c r="R18" s="47"/>
      <c r="S18" s="45"/>
    </row>
    <row r="19" spans="2:19" ht="17.25">
      <c r="B19" s="40"/>
      <c r="C19" s="40"/>
      <c r="D19" s="41"/>
      <c r="E19" s="42"/>
      <c r="F19" s="41"/>
      <c r="G19" s="41"/>
      <c r="H19" s="41" t="e">
        <f t="shared" si="1"/>
        <v>#DIV/0!</v>
      </c>
      <c r="I19" s="43"/>
      <c r="J19" s="43"/>
      <c r="K19" s="41"/>
      <c r="L19" s="41"/>
      <c r="M19" s="41"/>
      <c r="N19" s="43" t="e">
        <f t="shared" si="4"/>
        <v>#DIV/0!</v>
      </c>
      <c r="O19" s="43" t="e">
        <f t="shared" si="5"/>
        <v>#DIV/0!</v>
      </c>
      <c r="P19" s="43"/>
      <c r="Q19" s="43"/>
      <c r="R19" s="43"/>
      <c r="S19" s="42"/>
    </row>
    <row r="20" spans="2:19" ht="17.25">
      <c r="B20" s="45"/>
      <c r="C20" s="45"/>
      <c r="D20" s="45"/>
      <c r="E20" s="45"/>
      <c r="F20" s="46"/>
      <c r="G20" s="46"/>
      <c r="H20" s="46" t="e">
        <f t="shared" si="1"/>
        <v>#DIV/0!</v>
      </c>
      <c r="I20" s="47"/>
      <c r="J20" s="47"/>
      <c r="K20" s="45"/>
      <c r="L20" s="45"/>
      <c r="M20" s="45"/>
      <c r="N20" s="47" t="e">
        <f t="shared" si="4"/>
        <v>#DIV/0!</v>
      </c>
      <c r="O20" s="47" t="e">
        <f t="shared" si="5"/>
        <v>#DIV/0!</v>
      </c>
      <c r="P20" s="47"/>
      <c r="Q20" s="47"/>
      <c r="R20" s="47"/>
      <c r="S20" s="45"/>
    </row>
    <row r="21" spans="2:19" ht="17.25">
      <c r="B21" s="40"/>
      <c r="C21" s="40"/>
      <c r="D21" s="41"/>
      <c r="E21" s="42"/>
      <c r="F21" s="41"/>
      <c r="G21" s="41"/>
      <c r="H21" s="41" t="e">
        <f t="shared" si="1"/>
        <v>#DIV/0!</v>
      </c>
      <c r="I21" s="43"/>
      <c r="J21" s="43"/>
      <c r="K21" s="41"/>
      <c r="L21" s="41"/>
      <c r="M21" s="41"/>
      <c r="N21" s="43" t="e">
        <f t="shared" si="4"/>
        <v>#DIV/0!</v>
      </c>
      <c r="O21" s="43" t="e">
        <f t="shared" si="5"/>
        <v>#DIV/0!</v>
      </c>
      <c r="P21" s="43"/>
      <c r="Q21" s="43"/>
      <c r="R21" s="43"/>
      <c r="S21" s="42"/>
    </row>
    <row r="22" spans="2:19" ht="17.25">
      <c r="B22" s="45"/>
      <c r="C22" s="45"/>
      <c r="D22" s="45"/>
      <c r="E22" s="45"/>
      <c r="F22" s="46"/>
      <c r="G22" s="46"/>
      <c r="H22" s="46" t="e">
        <f t="shared" si="1"/>
        <v>#DIV/0!</v>
      </c>
      <c r="I22" s="47"/>
      <c r="J22" s="47"/>
      <c r="K22" s="45"/>
      <c r="L22" s="45"/>
      <c r="M22" s="45"/>
      <c r="N22" s="47" t="e">
        <f t="shared" si="4"/>
        <v>#DIV/0!</v>
      </c>
      <c r="O22" s="47" t="e">
        <f t="shared" si="5"/>
        <v>#DIV/0!</v>
      </c>
      <c r="P22" s="47"/>
      <c r="Q22" s="47"/>
      <c r="R22" s="47"/>
      <c r="S22" s="45"/>
    </row>
  </sheetData>
  <mergeCells count="6">
    <mergeCell ref="S2:S3"/>
    <mergeCell ref="C2:C3"/>
    <mergeCell ref="D2:J2"/>
    <mergeCell ref="B2:B3"/>
    <mergeCell ref="R2:R3"/>
    <mergeCell ref="K2:Q2"/>
  </mergeCells>
  <phoneticPr fontId="6" type="noConversion"/>
  <conditionalFormatting sqref="H6:H22">
    <cfRule type="cellIs" dxfId="117" priority="3" operator="equal">
      <formula>"Fail"</formula>
    </cfRule>
    <cfRule type="cellIs" dxfId="116" priority="4" operator="equal">
      <formula>"Pass"</formula>
    </cfRule>
  </conditionalFormatting>
  <conditionalFormatting sqref="J5:J22">
    <cfRule type="cellIs" dxfId="115" priority="1" operator="equal">
      <formula>"Fail"</formula>
    </cfRule>
    <cfRule type="cellIs" dxfId="114" priority="2" operator="equal">
      <formula>"Pass"</formula>
    </cfRule>
  </conditionalFormatting>
  <conditionalFormatting sqref="Q5:R22">
    <cfRule type="cellIs" dxfId="113" priority="5" operator="equal">
      <formula>"Fail"</formula>
    </cfRule>
    <cfRule type="cellIs" dxfId="112" priority="6" operator="equal">
      <formula>"Pass"</formula>
    </cfRule>
  </conditionalFormatting>
  <dataValidations count="1">
    <dataValidation type="list" allowBlank="1" showInputMessage="1" showErrorMessage="1" sqref="Q5:R22 J5:J22" xr:uid="{D63C563F-813E-4312-B6EC-8D6340627E15}">
      <formula1>"Pass,Fail"</formula1>
    </dataValidation>
  </dataValidations>
  <pageMargins left="0.7" right="0.7" top="0.75" bottom="0.75" header="0.3" footer="0.3"/>
  <pageSetup paperSize="9" scale="39" orientation="portrait" horizontalDpi="4294967293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5E74-18D5-4EBC-9519-64A3D1DF1AA5}">
  <dimension ref="B1:I20"/>
  <sheetViews>
    <sheetView showGridLines="0" zoomScaleNormal="100" workbookViewId="0">
      <selection activeCell="F23" sqref="F23"/>
    </sheetView>
  </sheetViews>
  <sheetFormatPr defaultColWidth="7.875" defaultRowHeight="13.5"/>
  <cols>
    <col min="1" max="1" width="3" style="22" customWidth="1"/>
    <col min="2" max="13" width="10.625" style="22" customWidth="1"/>
    <col min="14" max="16384" width="7.875" style="22"/>
  </cols>
  <sheetData>
    <row r="1" spans="2:9" ht="14.25" thickBot="1"/>
    <row r="2" spans="2:9" ht="21.75" thickBot="1">
      <c r="B2" s="249" t="s">
        <v>114</v>
      </c>
      <c r="C2" s="250"/>
      <c r="D2" s="250"/>
      <c r="E2" s="250"/>
      <c r="F2" s="250"/>
      <c r="G2" s="250"/>
      <c r="H2" s="250"/>
      <c r="I2" s="251"/>
    </row>
    <row r="3" spans="2:9" ht="54.75" thickBot="1">
      <c r="B3" s="74" t="s">
        <v>109</v>
      </c>
      <c r="C3" s="95" t="s">
        <v>116</v>
      </c>
      <c r="D3" s="95" t="s">
        <v>115</v>
      </c>
      <c r="E3" s="95" t="s">
        <v>117</v>
      </c>
      <c r="F3" s="95" t="s">
        <v>118</v>
      </c>
      <c r="G3" s="252" t="s">
        <v>48</v>
      </c>
      <c r="H3" s="252"/>
      <c r="I3" s="253"/>
    </row>
    <row r="4" spans="2:9" ht="14.65" customHeight="1" thickBot="1">
      <c r="B4" s="78">
        <v>11</v>
      </c>
      <c r="C4" s="79">
        <v>7</v>
      </c>
      <c r="D4" s="79">
        <v>6</v>
      </c>
      <c r="E4" s="80">
        <f>C4/B4</f>
        <v>0.63636363636363635</v>
      </c>
      <c r="F4" s="80">
        <f>D4/C4</f>
        <v>0.8571428571428571</v>
      </c>
      <c r="G4" s="263"/>
      <c r="H4" s="263"/>
      <c r="I4" s="264"/>
    </row>
    <row r="5" spans="2:9" ht="14.65" customHeight="1" thickBot="1"/>
    <row r="6" spans="2:9" ht="21.75" thickBot="1">
      <c r="B6" s="249" t="s">
        <v>74</v>
      </c>
      <c r="C6" s="250"/>
      <c r="D6" s="250"/>
      <c r="E6" s="250"/>
      <c r="F6" s="250"/>
      <c r="G6" s="250"/>
      <c r="H6" s="250"/>
      <c r="I6" s="251"/>
    </row>
    <row r="7" spans="2:9" ht="14.65" customHeight="1" thickBot="1">
      <c r="B7" s="74" t="s">
        <v>77</v>
      </c>
      <c r="C7" s="75" t="s">
        <v>75</v>
      </c>
      <c r="D7" s="75" t="s">
        <v>76</v>
      </c>
      <c r="E7" s="75" t="s">
        <v>78</v>
      </c>
      <c r="F7" s="75" t="s">
        <v>79</v>
      </c>
      <c r="G7" s="252" t="s">
        <v>48</v>
      </c>
      <c r="H7" s="252"/>
      <c r="I7" s="253"/>
    </row>
    <row r="8" spans="2:9" ht="14.65" customHeight="1" thickBot="1">
      <c r="B8" s="78">
        <v>5267</v>
      </c>
      <c r="C8" s="79">
        <v>646</v>
      </c>
      <c r="D8" s="79">
        <v>644</v>
      </c>
      <c r="E8" s="80">
        <v>0.16</v>
      </c>
      <c r="F8" s="94">
        <f>D8/C8</f>
        <v>0.99690402476780182</v>
      </c>
      <c r="G8" s="263"/>
      <c r="H8" s="263"/>
      <c r="I8" s="264"/>
    </row>
    <row r="9" spans="2:9" ht="14.65" customHeight="1" thickBot="1"/>
    <row r="10" spans="2:9" ht="21.75" thickBot="1">
      <c r="B10" s="249" t="s">
        <v>80</v>
      </c>
      <c r="C10" s="250"/>
      <c r="D10" s="250"/>
      <c r="E10" s="250"/>
      <c r="F10" s="250"/>
      <c r="G10" s="250"/>
      <c r="H10" s="250"/>
      <c r="I10" s="251"/>
    </row>
    <row r="11" spans="2:9" ht="14.65" customHeight="1" thickBot="1">
      <c r="B11" s="74" t="s">
        <v>80</v>
      </c>
      <c r="C11" s="75" t="s">
        <v>68</v>
      </c>
      <c r="D11" s="75" t="s">
        <v>69</v>
      </c>
      <c r="E11" s="75" t="s">
        <v>70</v>
      </c>
      <c r="F11" s="75" t="s">
        <v>71</v>
      </c>
      <c r="G11" s="252" t="s">
        <v>48</v>
      </c>
      <c r="H11" s="252"/>
      <c r="I11" s="253"/>
    </row>
    <row r="12" spans="2:9" ht="14.65" customHeight="1">
      <c r="B12" s="71" t="s">
        <v>68</v>
      </c>
      <c r="C12" s="72">
        <f>SUM(C13:C16)</f>
        <v>12</v>
      </c>
      <c r="D12" s="72">
        <f>SUM(D13:D16)</f>
        <v>11</v>
      </c>
      <c r="E12" s="72">
        <f>C12-D12</f>
        <v>1</v>
      </c>
      <c r="F12" s="73">
        <f>D12/C12</f>
        <v>0.91666666666666663</v>
      </c>
      <c r="G12" s="254" t="s">
        <v>132</v>
      </c>
      <c r="H12" s="254"/>
      <c r="I12" s="255"/>
    </row>
    <row r="13" spans="2:9" ht="17.25">
      <c r="B13" s="49" t="s">
        <v>64</v>
      </c>
      <c r="C13" s="48">
        <v>1</v>
      </c>
      <c r="D13" s="48">
        <v>1</v>
      </c>
      <c r="E13" s="48">
        <v>0</v>
      </c>
      <c r="F13" s="48">
        <f t="shared" ref="F13:F16" si="0">D13/C13</f>
        <v>1</v>
      </c>
      <c r="G13" s="256"/>
      <c r="H13" s="256"/>
      <c r="I13" s="257"/>
    </row>
    <row r="14" spans="2:9" ht="17.25">
      <c r="B14" s="49" t="s">
        <v>65</v>
      </c>
      <c r="C14" s="48">
        <v>3</v>
      </c>
      <c r="D14" s="48">
        <v>3</v>
      </c>
      <c r="E14" s="48">
        <v>0</v>
      </c>
      <c r="F14" s="48">
        <f t="shared" si="0"/>
        <v>1</v>
      </c>
      <c r="G14" s="256"/>
      <c r="H14" s="256"/>
      <c r="I14" s="257"/>
    </row>
    <row r="15" spans="2:9" ht="17.25">
      <c r="B15" s="49" t="s">
        <v>66</v>
      </c>
      <c r="C15" s="48">
        <v>5</v>
      </c>
      <c r="D15" s="48">
        <v>4</v>
      </c>
      <c r="E15" s="48">
        <v>1</v>
      </c>
      <c r="F15" s="48">
        <f t="shared" si="0"/>
        <v>0.8</v>
      </c>
      <c r="G15" s="256"/>
      <c r="H15" s="256"/>
      <c r="I15" s="257"/>
    </row>
    <row r="16" spans="2:9" ht="18" thickBot="1">
      <c r="B16" s="51" t="s">
        <v>67</v>
      </c>
      <c r="C16" s="52">
        <v>3</v>
      </c>
      <c r="D16" s="52">
        <v>3</v>
      </c>
      <c r="E16" s="52">
        <v>0</v>
      </c>
      <c r="F16" s="52">
        <f t="shared" si="0"/>
        <v>1</v>
      </c>
      <c r="G16" s="258"/>
      <c r="H16" s="258"/>
      <c r="I16" s="259"/>
    </row>
    <row r="17" spans="2:9" ht="14.25" thickBot="1"/>
    <row r="18" spans="2:9" ht="21.75" thickBot="1">
      <c r="B18" s="249" t="s">
        <v>45</v>
      </c>
      <c r="C18" s="250"/>
      <c r="D18" s="250"/>
      <c r="E18" s="250"/>
      <c r="F18" s="250"/>
      <c r="G18" s="250"/>
      <c r="H18" s="250"/>
      <c r="I18" s="251"/>
    </row>
    <row r="19" spans="2:9" ht="14.1" customHeight="1">
      <c r="B19" s="76" t="s">
        <v>72</v>
      </c>
      <c r="C19" s="260"/>
      <c r="D19" s="261"/>
      <c r="E19" s="261"/>
      <c r="F19" s="261"/>
      <c r="G19" s="261"/>
      <c r="H19" s="261"/>
      <c r="I19" s="262"/>
    </row>
    <row r="20" spans="2:9" ht="65.650000000000006" customHeight="1" thickBot="1">
      <c r="B20" s="77" t="s">
        <v>73</v>
      </c>
      <c r="C20" s="246" t="s">
        <v>133</v>
      </c>
      <c r="D20" s="247"/>
      <c r="E20" s="247"/>
      <c r="F20" s="247"/>
      <c r="G20" s="247"/>
      <c r="H20" s="247"/>
      <c r="I20" s="248"/>
    </row>
  </sheetData>
  <mergeCells count="16">
    <mergeCell ref="B6:I6"/>
    <mergeCell ref="G7:I7"/>
    <mergeCell ref="G8:I8"/>
    <mergeCell ref="B2:I2"/>
    <mergeCell ref="G3:I3"/>
    <mergeCell ref="G4:I4"/>
    <mergeCell ref="C20:I20"/>
    <mergeCell ref="B10:I10"/>
    <mergeCell ref="G11:I11"/>
    <mergeCell ref="G12:I12"/>
    <mergeCell ref="G13:I13"/>
    <mergeCell ref="G14:I14"/>
    <mergeCell ref="G15:I15"/>
    <mergeCell ref="G16:I16"/>
    <mergeCell ref="B18:I18"/>
    <mergeCell ref="C19:I19"/>
  </mergeCells>
  <phoneticPr fontId="6" type="noConversion"/>
  <dataValidations disablePrompts="1" count="1">
    <dataValidation type="list" allowBlank="1" showInputMessage="1" showErrorMessage="1" sqref="C19" xr:uid="{3BE9B123-6296-4EA5-941E-7FC317C8D945}">
      <formula1>"Pass ,有条件Pass, Not Pass"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5C37-EE05-4627-BA34-6DAE62C31AAF}">
  <dimension ref="A2:N84"/>
  <sheetViews>
    <sheetView showGridLines="0" view="pageBreakPreview" zoomScaleNormal="100" zoomScaleSheetLayoutView="100" workbookViewId="0">
      <selection activeCell="N6" sqref="N6"/>
    </sheetView>
  </sheetViews>
  <sheetFormatPr defaultColWidth="7.875" defaultRowHeight="16.5"/>
  <cols>
    <col min="1" max="1" width="2.75" style="23" customWidth="1"/>
    <col min="2" max="2" width="6.5" style="23" bestFit="1" customWidth="1"/>
    <col min="3" max="5" width="12.125" style="23" customWidth="1"/>
    <col min="6" max="6" width="11.625" style="23" bestFit="1" customWidth="1"/>
    <col min="7" max="7" width="31.375" style="27" customWidth="1"/>
    <col min="8" max="8" width="8" style="23" bestFit="1" customWidth="1"/>
    <col min="9" max="9" width="11.625" style="23" customWidth="1"/>
    <col min="10" max="10" width="13.75" style="23" customWidth="1"/>
    <col min="11" max="11" width="10.625" style="23" customWidth="1"/>
    <col min="12" max="12" width="11.625" style="23" bestFit="1" customWidth="1"/>
    <col min="13" max="13" width="14.875" style="23" customWidth="1"/>
    <col min="14" max="14" width="30.125" style="23" customWidth="1"/>
    <col min="15" max="15" width="4" style="32" customWidth="1"/>
    <col min="16" max="16384" width="7.875" style="32"/>
  </cols>
  <sheetData>
    <row r="2" spans="2:14" ht="30">
      <c r="B2" s="29" t="s">
        <v>33</v>
      </c>
      <c r="C2" s="29" t="s">
        <v>28</v>
      </c>
      <c r="D2" s="29" t="s">
        <v>56</v>
      </c>
      <c r="E2" s="29" t="s">
        <v>57</v>
      </c>
      <c r="F2" s="29" t="s">
        <v>38</v>
      </c>
      <c r="G2" s="31" t="s">
        <v>34</v>
      </c>
      <c r="H2" s="29" t="s">
        <v>31</v>
      </c>
      <c r="I2" s="29" t="s">
        <v>35</v>
      </c>
      <c r="J2" s="29" t="s">
        <v>29</v>
      </c>
      <c r="K2" s="29" t="s">
        <v>30</v>
      </c>
      <c r="L2" s="29" t="s">
        <v>36</v>
      </c>
      <c r="M2" s="29" t="s">
        <v>37</v>
      </c>
      <c r="N2" s="30" t="s">
        <v>32</v>
      </c>
    </row>
    <row r="3" spans="2:14">
      <c r="B3" s="24"/>
      <c r="C3" s="24"/>
      <c r="D3" s="24"/>
      <c r="E3" s="24"/>
      <c r="F3" s="24"/>
      <c r="G3" s="25"/>
      <c r="H3" s="24"/>
      <c r="I3" s="24"/>
      <c r="J3" s="26"/>
      <c r="K3" s="26"/>
      <c r="L3" s="26"/>
      <c r="M3" s="26"/>
      <c r="N3" s="25"/>
    </row>
    <row r="4" spans="2:14" ht="17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2:14">
      <c r="B5" s="24"/>
      <c r="C5" s="24"/>
      <c r="D5" s="24"/>
      <c r="E5" s="24"/>
      <c r="F5" s="24"/>
      <c r="G5" s="25"/>
      <c r="H5" s="24"/>
      <c r="I5" s="24"/>
      <c r="J5" s="26"/>
      <c r="K5" s="26"/>
      <c r="L5" s="26"/>
      <c r="M5" s="26"/>
      <c r="N5" s="25"/>
    </row>
    <row r="6" spans="2:14" ht="17.25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</row>
    <row r="7" spans="2:14">
      <c r="B7" s="24"/>
      <c r="C7" s="24"/>
      <c r="D7" s="24"/>
      <c r="E7" s="24"/>
      <c r="F7" s="24"/>
      <c r="G7" s="25"/>
      <c r="H7" s="24"/>
      <c r="I7" s="24"/>
      <c r="J7" s="26"/>
      <c r="K7" s="26"/>
      <c r="L7" s="26"/>
      <c r="M7" s="26"/>
      <c r="N7" s="25"/>
    </row>
    <row r="8" spans="2:14" ht="17.25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20"/>
    </row>
    <row r="9" spans="2:14">
      <c r="B9" s="24"/>
      <c r="C9" s="24"/>
      <c r="D9" s="24"/>
      <c r="E9" s="24"/>
      <c r="F9" s="24"/>
      <c r="G9" s="25"/>
      <c r="H9" s="24"/>
      <c r="I9" s="24"/>
      <c r="J9" s="26"/>
      <c r="K9" s="26"/>
      <c r="L9" s="26"/>
      <c r="M9" s="26"/>
      <c r="N9" s="25"/>
    </row>
    <row r="10" spans="2:14" ht="17.25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</row>
    <row r="11" spans="2:14">
      <c r="B11" s="24"/>
      <c r="C11" s="24"/>
      <c r="D11" s="24"/>
      <c r="E11" s="24"/>
      <c r="F11" s="24"/>
      <c r="G11" s="25"/>
      <c r="H11" s="24"/>
      <c r="I11" s="24"/>
      <c r="J11" s="26"/>
      <c r="K11" s="26"/>
      <c r="L11" s="26"/>
      <c r="M11" s="26"/>
      <c r="N11" s="25"/>
    </row>
    <row r="12" spans="2:14" ht="17.25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2:14">
      <c r="B13" s="24"/>
      <c r="C13" s="24"/>
      <c r="D13" s="24"/>
      <c r="E13" s="24"/>
      <c r="F13" s="24"/>
      <c r="G13" s="25"/>
      <c r="H13" s="24"/>
      <c r="I13" s="24"/>
      <c r="J13" s="26"/>
      <c r="K13" s="26"/>
      <c r="L13" s="26"/>
      <c r="M13" s="26"/>
      <c r="N13" s="25"/>
    </row>
    <row r="14" spans="2:14" ht="17.25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0"/>
    </row>
    <row r="15" spans="2:14">
      <c r="B15" s="24"/>
      <c r="C15" s="24"/>
      <c r="D15" s="24"/>
      <c r="E15" s="24"/>
      <c r="F15" s="24"/>
      <c r="G15" s="25"/>
      <c r="H15" s="24"/>
      <c r="I15" s="24"/>
      <c r="J15" s="26"/>
      <c r="K15" s="26"/>
      <c r="L15" s="26"/>
      <c r="M15" s="26"/>
      <c r="N15" s="25"/>
    </row>
    <row r="16" spans="2:14" ht="17.25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0"/>
    </row>
    <row r="17" spans="2:14">
      <c r="B17" s="24"/>
      <c r="C17" s="24"/>
      <c r="D17" s="24"/>
      <c r="E17" s="24"/>
      <c r="F17" s="24"/>
      <c r="G17" s="25"/>
      <c r="H17" s="24"/>
      <c r="I17" s="24"/>
      <c r="J17" s="26"/>
      <c r="K17" s="26"/>
      <c r="L17" s="26"/>
      <c r="M17" s="26"/>
      <c r="N17" s="25"/>
    </row>
    <row r="18" spans="2:14" ht="17.25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</row>
    <row r="19" spans="2:14">
      <c r="B19" s="24"/>
      <c r="C19" s="24"/>
      <c r="D19" s="24"/>
      <c r="E19" s="24"/>
      <c r="F19" s="24"/>
      <c r="G19" s="25"/>
      <c r="H19" s="24"/>
      <c r="I19" s="24"/>
      <c r="J19" s="26"/>
      <c r="K19" s="26"/>
      <c r="L19" s="26"/>
      <c r="M19" s="26"/>
      <c r="N19" s="25"/>
    </row>
    <row r="20" spans="2:14" ht="17.25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0"/>
    </row>
    <row r="21" spans="2:14">
      <c r="B21" s="24"/>
      <c r="C21" s="24"/>
      <c r="D21" s="24"/>
      <c r="E21" s="24"/>
      <c r="F21" s="24"/>
      <c r="G21" s="25"/>
      <c r="H21" s="24"/>
      <c r="I21" s="24"/>
      <c r="J21" s="26"/>
      <c r="K21" s="26"/>
      <c r="L21" s="26"/>
      <c r="M21" s="26"/>
      <c r="N21" s="25"/>
    </row>
    <row r="22" spans="2:14" ht="17.25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0"/>
    </row>
    <row r="23" spans="2:14">
      <c r="B23" s="24"/>
      <c r="C23" s="24"/>
      <c r="D23" s="24"/>
      <c r="E23" s="24"/>
      <c r="F23" s="24"/>
      <c r="G23" s="25"/>
      <c r="H23" s="24"/>
      <c r="I23" s="24"/>
      <c r="J23" s="26"/>
      <c r="K23" s="26"/>
      <c r="L23" s="26"/>
      <c r="M23" s="26"/>
      <c r="N23" s="25"/>
    </row>
    <row r="24" spans="2:14" ht="17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20"/>
    </row>
    <row r="25" spans="2:14">
      <c r="B25" s="24"/>
      <c r="C25" s="24"/>
      <c r="D25" s="24"/>
      <c r="E25" s="24"/>
      <c r="F25" s="24"/>
      <c r="G25" s="25"/>
      <c r="H25" s="24"/>
      <c r="I25" s="24"/>
      <c r="J25" s="26"/>
      <c r="K25" s="26"/>
      <c r="L25" s="26"/>
      <c r="M25" s="26"/>
      <c r="N25" s="25"/>
    </row>
    <row r="26" spans="2:14" ht="17.25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20"/>
    </row>
    <row r="27" spans="2:14">
      <c r="B27" s="24"/>
      <c r="C27" s="24"/>
      <c r="D27" s="24"/>
      <c r="E27" s="24"/>
      <c r="F27" s="24"/>
      <c r="G27" s="25"/>
      <c r="H27" s="24"/>
      <c r="I27" s="24"/>
      <c r="J27" s="26"/>
      <c r="K27" s="26"/>
      <c r="L27" s="26"/>
      <c r="M27" s="26"/>
      <c r="N27" s="25"/>
    </row>
    <row r="28" spans="2:14" ht="17.25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20"/>
    </row>
    <row r="29" spans="2:14">
      <c r="B29" s="24"/>
      <c r="C29" s="24"/>
      <c r="D29" s="24"/>
      <c r="E29" s="24"/>
      <c r="F29" s="24"/>
      <c r="G29" s="25"/>
      <c r="H29" s="24"/>
      <c r="I29" s="24"/>
      <c r="J29" s="26"/>
      <c r="K29" s="26"/>
      <c r="L29" s="26"/>
      <c r="M29" s="26"/>
      <c r="N29" s="25"/>
    </row>
    <row r="30" spans="2:14" ht="17.25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20"/>
    </row>
    <row r="31" spans="2:14">
      <c r="B31" s="24"/>
      <c r="C31" s="24"/>
      <c r="D31" s="24"/>
      <c r="E31" s="24"/>
      <c r="F31" s="24"/>
      <c r="G31" s="25"/>
      <c r="H31" s="24"/>
      <c r="I31" s="24"/>
      <c r="J31" s="26"/>
      <c r="K31" s="26"/>
      <c r="L31" s="26"/>
      <c r="M31" s="26"/>
      <c r="N31" s="25"/>
    </row>
    <row r="32" spans="2:14" ht="17.2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20"/>
    </row>
    <row r="33" spans="2:14">
      <c r="B33" s="24"/>
      <c r="C33" s="24"/>
      <c r="D33" s="24"/>
      <c r="E33" s="24"/>
      <c r="F33" s="24"/>
      <c r="G33" s="25"/>
      <c r="H33" s="24"/>
      <c r="I33" s="24"/>
      <c r="J33" s="26"/>
      <c r="K33" s="26"/>
      <c r="L33" s="26"/>
      <c r="M33" s="26"/>
      <c r="N33" s="25"/>
    </row>
    <row r="34" spans="2:14" ht="17.25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20"/>
    </row>
    <row r="35" spans="2:14">
      <c r="B35" s="24"/>
      <c r="C35" s="24"/>
      <c r="D35" s="24"/>
      <c r="E35" s="24"/>
      <c r="F35" s="24"/>
      <c r="G35" s="25"/>
      <c r="H35" s="24"/>
      <c r="I35" s="24"/>
      <c r="J35" s="26"/>
      <c r="K35" s="26"/>
      <c r="L35" s="26"/>
      <c r="M35" s="26"/>
      <c r="N35" s="25"/>
    </row>
    <row r="36" spans="2:14" ht="17.25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20"/>
    </row>
    <row r="37" spans="2:14">
      <c r="B37" s="24"/>
      <c r="C37" s="24"/>
      <c r="D37" s="24"/>
      <c r="E37" s="24"/>
      <c r="F37" s="24"/>
      <c r="G37" s="25"/>
      <c r="H37" s="24"/>
      <c r="I37" s="24"/>
      <c r="J37" s="26"/>
      <c r="K37" s="26"/>
      <c r="L37" s="26"/>
      <c r="M37" s="26"/>
      <c r="N37" s="25"/>
    </row>
    <row r="38" spans="2:14" ht="17.25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</row>
    <row r="39" spans="2:14">
      <c r="B39" s="24"/>
      <c r="C39" s="24"/>
      <c r="D39" s="24"/>
      <c r="E39" s="24"/>
      <c r="F39" s="24"/>
      <c r="G39" s="25"/>
      <c r="H39" s="24"/>
      <c r="I39" s="24"/>
      <c r="J39" s="26"/>
      <c r="K39" s="26"/>
      <c r="L39" s="26"/>
      <c r="M39" s="26"/>
      <c r="N39" s="25"/>
    </row>
    <row r="40" spans="2:14" ht="17.25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</row>
    <row r="41" spans="2:14">
      <c r="B41" s="24"/>
      <c r="C41" s="24"/>
      <c r="D41" s="24"/>
      <c r="E41" s="24"/>
      <c r="F41" s="24"/>
      <c r="G41" s="25"/>
      <c r="H41" s="24"/>
      <c r="I41" s="24"/>
      <c r="J41" s="26"/>
      <c r="K41" s="26"/>
      <c r="L41" s="26"/>
      <c r="M41" s="26"/>
      <c r="N41" s="25"/>
    </row>
    <row r="42" spans="2:14" ht="17.25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20"/>
    </row>
    <row r="43" spans="2:14">
      <c r="B43" s="24"/>
      <c r="C43" s="24"/>
      <c r="D43" s="24"/>
      <c r="E43" s="24"/>
      <c r="F43" s="24"/>
      <c r="G43" s="25"/>
      <c r="H43" s="24"/>
      <c r="I43" s="24"/>
      <c r="J43" s="26"/>
      <c r="K43" s="26"/>
      <c r="L43" s="26"/>
      <c r="M43" s="26"/>
      <c r="N43" s="25"/>
    </row>
    <row r="44" spans="2:14" ht="17.25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20"/>
    </row>
    <row r="45" spans="2:14">
      <c r="B45" s="24"/>
      <c r="C45" s="24"/>
      <c r="D45" s="24"/>
      <c r="E45" s="24"/>
      <c r="F45" s="24"/>
      <c r="G45" s="25"/>
      <c r="H45" s="24"/>
      <c r="I45" s="24"/>
      <c r="J45" s="26"/>
      <c r="K45" s="26"/>
      <c r="L45" s="26"/>
      <c r="M45" s="26"/>
      <c r="N45" s="25"/>
    </row>
    <row r="46" spans="2:14" ht="17.25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0"/>
    </row>
    <row r="47" spans="2:14">
      <c r="B47" s="24"/>
      <c r="C47" s="24"/>
      <c r="D47" s="24"/>
      <c r="E47" s="24"/>
      <c r="F47" s="24"/>
      <c r="G47" s="25"/>
      <c r="H47" s="24"/>
      <c r="I47" s="24"/>
      <c r="J47" s="26"/>
      <c r="K47" s="26"/>
      <c r="L47" s="26"/>
      <c r="M47" s="26"/>
      <c r="N47" s="25"/>
    </row>
    <row r="48" spans="2:14" ht="17.25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20"/>
    </row>
    <row r="49" spans="2:14">
      <c r="B49" s="24"/>
      <c r="C49" s="24"/>
      <c r="D49" s="24"/>
      <c r="E49" s="24"/>
      <c r="F49" s="24"/>
      <c r="G49" s="25"/>
      <c r="H49" s="24"/>
      <c r="I49" s="24"/>
      <c r="J49" s="26"/>
      <c r="K49" s="26"/>
      <c r="L49" s="26"/>
      <c r="M49" s="26"/>
      <c r="N49" s="25"/>
    </row>
    <row r="50" spans="2:14" ht="17.2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20"/>
    </row>
    <row r="51" spans="2:14">
      <c r="B51" s="24"/>
      <c r="C51" s="24"/>
      <c r="D51" s="24"/>
      <c r="E51" s="24"/>
      <c r="F51" s="24"/>
      <c r="G51" s="25"/>
      <c r="H51" s="24"/>
      <c r="I51" s="24"/>
      <c r="J51" s="26"/>
      <c r="K51" s="26"/>
      <c r="L51" s="26"/>
      <c r="M51" s="26"/>
      <c r="N51" s="25"/>
    </row>
    <row r="52" spans="2:14" ht="17.25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20"/>
    </row>
    <row r="53" spans="2:14">
      <c r="B53" s="24"/>
      <c r="C53" s="24"/>
      <c r="D53" s="24"/>
      <c r="E53" s="24"/>
      <c r="F53" s="24"/>
      <c r="G53" s="25"/>
      <c r="H53" s="24"/>
      <c r="I53" s="24"/>
      <c r="J53" s="26"/>
      <c r="K53" s="26"/>
      <c r="L53" s="26"/>
      <c r="M53" s="26"/>
      <c r="N53" s="25"/>
    </row>
    <row r="54" spans="2:14" ht="17.2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20"/>
    </row>
    <row r="55" spans="2:14">
      <c r="B55" s="24"/>
      <c r="C55" s="24"/>
      <c r="D55" s="24"/>
      <c r="E55" s="24"/>
      <c r="F55" s="24"/>
      <c r="G55" s="25"/>
      <c r="H55" s="24"/>
      <c r="I55" s="24"/>
      <c r="J55" s="26"/>
      <c r="K55" s="26"/>
      <c r="L55" s="26"/>
      <c r="M55" s="26"/>
      <c r="N55" s="25"/>
    </row>
    <row r="56" spans="2:14" ht="17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0"/>
    </row>
    <row r="57" spans="2:14">
      <c r="B57" s="24"/>
      <c r="C57" s="24"/>
      <c r="D57" s="24"/>
      <c r="E57" s="24"/>
      <c r="F57" s="24"/>
      <c r="G57" s="25"/>
      <c r="H57" s="24"/>
      <c r="I57" s="24"/>
      <c r="J57" s="26"/>
      <c r="K57" s="26"/>
      <c r="L57" s="26"/>
      <c r="M57" s="26"/>
      <c r="N57" s="25"/>
    </row>
    <row r="58" spans="2:14" ht="17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0"/>
    </row>
    <row r="59" spans="2:14">
      <c r="B59" s="24"/>
      <c r="C59" s="24"/>
      <c r="D59" s="24"/>
      <c r="E59" s="24"/>
      <c r="F59" s="24"/>
      <c r="G59" s="25"/>
      <c r="H59" s="24"/>
      <c r="I59" s="24"/>
      <c r="J59" s="26"/>
      <c r="K59" s="26"/>
      <c r="L59" s="26"/>
      <c r="M59" s="26"/>
      <c r="N59" s="25"/>
    </row>
    <row r="60" spans="2:14" ht="17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0"/>
    </row>
    <row r="61" spans="2:14">
      <c r="B61" s="24"/>
      <c r="C61" s="24"/>
      <c r="D61" s="24"/>
      <c r="E61" s="24"/>
      <c r="F61" s="24"/>
      <c r="G61" s="25"/>
      <c r="H61" s="24"/>
      <c r="I61" s="24"/>
      <c r="J61" s="26"/>
      <c r="K61" s="26"/>
      <c r="L61" s="26"/>
      <c r="M61" s="26"/>
      <c r="N61" s="25"/>
    </row>
    <row r="62" spans="2:14" ht="17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0"/>
    </row>
    <row r="63" spans="2:14">
      <c r="B63" s="24"/>
      <c r="C63" s="24"/>
      <c r="D63" s="24"/>
      <c r="E63" s="24"/>
      <c r="F63" s="24"/>
      <c r="G63" s="25"/>
      <c r="H63" s="24"/>
      <c r="I63" s="24"/>
      <c r="J63" s="26"/>
      <c r="K63" s="26"/>
      <c r="L63" s="26"/>
      <c r="M63" s="26"/>
      <c r="N63" s="25"/>
    </row>
    <row r="64" spans="2:14" ht="17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0"/>
    </row>
    <row r="65" spans="2:14">
      <c r="B65" s="24"/>
      <c r="C65" s="24"/>
      <c r="D65" s="24"/>
      <c r="E65" s="24"/>
      <c r="F65" s="24"/>
      <c r="G65" s="25"/>
      <c r="H65" s="24"/>
      <c r="I65" s="24"/>
      <c r="J65" s="26"/>
      <c r="K65" s="26"/>
      <c r="L65" s="26"/>
      <c r="M65" s="26"/>
      <c r="N65" s="25"/>
    </row>
    <row r="66" spans="2:14" ht="17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/>
    </row>
    <row r="67" spans="2:14">
      <c r="B67" s="24"/>
      <c r="C67" s="24"/>
      <c r="D67" s="24"/>
      <c r="E67" s="24"/>
      <c r="F67" s="24"/>
      <c r="G67" s="25"/>
      <c r="H67" s="24"/>
      <c r="I67" s="24"/>
      <c r="J67" s="26"/>
      <c r="K67" s="26"/>
      <c r="L67" s="26"/>
      <c r="M67" s="26"/>
      <c r="N67" s="25"/>
    </row>
    <row r="68" spans="2:14" ht="17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0"/>
    </row>
    <row r="69" spans="2:14">
      <c r="B69" s="24"/>
      <c r="C69" s="24"/>
      <c r="D69" s="24"/>
      <c r="E69" s="24"/>
      <c r="F69" s="24"/>
      <c r="G69" s="25"/>
      <c r="H69" s="24"/>
      <c r="I69" s="24"/>
      <c r="J69" s="26"/>
      <c r="K69" s="26"/>
      <c r="L69" s="26"/>
      <c r="M69" s="26"/>
      <c r="N69" s="25"/>
    </row>
    <row r="70" spans="2:14" ht="17.25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0"/>
    </row>
    <row r="71" spans="2:14">
      <c r="B71" s="24"/>
      <c r="C71" s="24"/>
      <c r="D71" s="24"/>
      <c r="E71" s="24"/>
      <c r="F71" s="24"/>
      <c r="G71" s="25"/>
      <c r="H71" s="24"/>
      <c r="I71" s="24"/>
      <c r="J71" s="26"/>
      <c r="K71" s="26"/>
      <c r="L71" s="26"/>
      <c r="M71" s="26"/>
      <c r="N71" s="25"/>
    </row>
    <row r="72" spans="2:14" ht="17.25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0"/>
    </row>
    <row r="73" spans="2:14">
      <c r="B73" s="24"/>
      <c r="C73" s="24"/>
      <c r="D73" s="24"/>
      <c r="E73" s="24"/>
      <c r="F73" s="24"/>
      <c r="G73" s="25"/>
      <c r="H73" s="24"/>
      <c r="I73" s="24"/>
      <c r="J73" s="26"/>
      <c r="K73" s="26"/>
      <c r="L73" s="26"/>
      <c r="M73" s="26"/>
      <c r="N73" s="25"/>
    </row>
    <row r="74" spans="2:14" ht="17.25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0"/>
    </row>
    <row r="75" spans="2:14">
      <c r="B75" s="24"/>
      <c r="C75" s="24"/>
      <c r="D75" s="24"/>
      <c r="E75" s="24"/>
      <c r="F75" s="24"/>
      <c r="G75" s="25"/>
      <c r="H75" s="24"/>
      <c r="I75" s="24"/>
      <c r="J75" s="26"/>
      <c r="K75" s="26"/>
      <c r="L75" s="26"/>
      <c r="M75" s="26"/>
      <c r="N75" s="25"/>
    </row>
    <row r="76" spans="2:14" ht="17.25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0"/>
    </row>
    <row r="77" spans="2:14">
      <c r="B77" s="24"/>
      <c r="C77" s="24"/>
      <c r="D77" s="24"/>
      <c r="E77" s="24"/>
      <c r="F77" s="24"/>
      <c r="G77" s="25"/>
      <c r="H77" s="24"/>
      <c r="I77" s="24"/>
      <c r="J77" s="26"/>
      <c r="K77" s="26"/>
      <c r="L77" s="26"/>
      <c r="M77" s="26"/>
      <c r="N77" s="25"/>
    </row>
    <row r="78" spans="2:14" ht="17.25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0"/>
    </row>
    <row r="79" spans="2:14">
      <c r="B79" s="24"/>
      <c r="C79" s="24"/>
      <c r="D79" s="24"/>
      <c r="E79" s="24"/>
      <c r="F79" s="24"/>
      <c r="G79" s="25"/>
      <c r="H79" s="24"/>
      <c r="I79" s="24"/>
      <c r="J79" s="26"/>
      <c r="K79" s="26"/>
      <c r="L79" s="26"/>
      <c r="M79" s="26"/>
      <c r="N79" s="25"/>
    </row>
    <row r="80" spans="2:14" ht="17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0"/>
    </row>
    <row r="81" spans="2:14">
      <c r="B81" s="24"/>
      <c r="C81" s="24"/>
      <c r="D81" s="24"/>
      <c r="E81" s="24"/>
      <c r="F81" s="24"/>
      <c r="G81" s="25"/>
      <c r="H81" s="24"/>
      <c r="I81" s="24"/>
      <c r="J81" s="26"/>
      <c r="K81" s="26"/>
      <c r="L81" s="26"/>
      <c r="M81" s="26"/>
      <c r="N81" s="25"/>
    </row>
    <row r="82" spans="2:14" ht="17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0"/>
    </row>
    <row r="83" spans="2:14">
      <c r="B83" s="24"/>
      <c r="C83" s="24"/>
      <c r="D83" s="24"/>
      <c r="E83" s="24"/>
      <c r="F83" s="24"/>
      <c r="G83" s="25"/>
      <c r="H83" s="24"/>
      <c r="I83" s="24"/>
      <c r="J83" s="26"/>
      <c r="K83" s="26"/>
      <c r="L83" s="26"/>
      <c r="M83" s="26"/>
      <c r="N83" s="25"/>
    </row>
    <row r="84" spans="2:14" ht="17.25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0"/>
    </row>
  </sheetData>
  <phoneticPr fontId="6" type="noConversion"/>
  <conditionalFormatting sqref="C3:E3">
    <cfRule type="cellIs" dxfId="111" priority="13" stopIfTrue="1" operator="equal">
      <formula>"COK"</formula>
    </cfRule>
    <cfRule type="cellIs" dxfId="110" priority="14" stopIfTrue="1" operator="equal">
      <formula>"暂不解决"</formula>
    </cfRule>
    <cfRule type="cellIs" dxfId="109" priority="15" stopIfTrue="1" operator="equal">
      <formula>"尚未解决"</formula>
    </cfRule>
    <cfRule type="cellIs" dxfId="108" priority="16" stopIfTrue="1" operator="equal">
      <formula>"COK"</formula>
    </cfRule>
    <cfRule type="cellIs" dxfId="107" priority="17" stopIfTrue="1" operator="equal">
      <formula>"尚未解决"</formula>
    </cfRule>
    <cfRule type="cellIs" dxfId="106" priority="18" stopIfTrue="1" operator="equal">
      <formula>"不解决"</formula>
    </cfRule>
  </conditionalFormatting>
  <conditionalFormatting sqref="C5:E5 C7:E7 C9:E9 C11:E11 C13:E13 C15:E15 C17:E17 C19:E19 C21:E21 C23:E23 C25:E25 C27:E27 C29:E29 C31:E31 C33:E33 C35:E35 C37:E37 C39:E39 C41:E41 C43:E43 C45:E45 C47:E47 C49:E49 C51:E51 C53:E53 C55:E55 C57:E57 C59:E59 C61:E61 C63:E63 C65:E65 C67:E67 C69:E69 C71:E71 C73:E73 C75:E75 C77:E77 C79:E79 C81:E81 C83:E83">
    <cfRule type="cellIs" dxfId="105" priority="1" stopIfTrue="1" operator="equal">
      <formula>"COK"</formula>
    </cfRule>
    <cfRule type="cellIs" dxfId="104" priority="2" stopIfTrue="1" operator="equal">
      <formula>"暂不解决"</formula>
    </cfRule>
    <cfRule type="cellIs" dxfId="103" priority="3" stopIfTrue="1" operator="equal">
      <formula>"尚未解决"</formula>
    </cfRule>
    <cfRule type="cellIs" dxfId="102" priority="4" stopIfTrue="1" operator="equal">
      <formula>"COK"</formula>
    </cfRule>
    <cfRule type="cellIs" dxfId="101" priority="5" stopIfTrue="1" operator="equal">
      <formula>"尚未解决"</formula>
    </cfRule>
    <cfRule type="cellIs" dxfId="100" priority="6" stopIfTrue="1" operator="equal">
      <formula>"不解决"</formula>
    </cfRule>
  </conditionalFormatting>
  <dataValidations count="2">
    <dataValidation type="list" allowBlank="1" showInputMessage="1" showErrorMessage="1" sqref="C3:E74 C76:E84" xr:uid="{12AF22EA-2A9B-439D-A420-E98E00134B74}">
      <formula1>"已解决,尚未解决,不解决"</formula1>
    </dataValidation>
    <dataValidation type="list" allowBlank="1" showInputMessage="1" showErrorMessage="1" sqref="C2" xr:uid="{A2FB7D0A-F054-4EFC-8450-E37DE4FC4DF8}">
      <formula1>"已解决,尚未解决,不解决,COK"</formula1>
    </dataValidation>
  </dataValidations>
  <pageMargins left="0.75" right="0.75" top="1" bottom="1" header="0.51180555555555596" footer="0.51180555555555596"/>
  <pageSetup paperSize="9" scale="3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8268-D10C-4434-BE82-DB707A99677B}">
  <sheetPr>
    <outlinePr summaryBelow="0" summaryRight="0"/>
    <pageSetUpPr autoPageBreaks="0"/>
  </sheetPr>
  <dimension ref="B2:V1700"/>
  <sheetViews>
    <sheetView topLeftCell="A16" zoomScale="80" zoomScaleNormal="80" zoomScaleSheetLayoutView="90" workbookViewId="0">
      <selection activeCell="C4" sqref="C4:M5"/>
    </sheetView>
  </sheetViews>
  <sheetFormatPr defaultRowHeight="13.5" outlineLevelRow="6" outlineLevelCol="1"/>
  <cols>
    <col min="1" max="1" width="4.25" style="97" customWidth="1"/>
    <col min="2" max="2" width="20" style="189" customWidth="1" collapsed="1"/>
    <col min="3" max="5" width="20" style="189" hidden="1" customWidth="1" outlineLevel="1"/>
    <col min="6" max="6" width="10.75" style="97" customWidth="1"/>
    <col min="7" max="7" width="31" style="190" customWidth="1"/>
    <col min="8" max="8" width="8.5" style="97" customWidth="1"/>
    <col min="9" max="9" width="8.875" style="97" customWidth="1"/>
    <col min="10" max="10" width="29" style="191" customWidth="1"/>
    <col min="11" max="11" width="36.125" style="138" customWidth="1"/>
    <col min="12" max="12" width="30.875" style="192" customWidth="1"/>
    <col min="13" max="13" width="14.875" style="97" customWidth="1"/>
    <col min="14" max="14" width="15.625" style="97" customWidth="1"/>
    <col min="15" max="15" width="9.125" style="97" customWidth="1"/>
    <col min="16" max="16" width="9.625" style="97" customWidth="1" outlineLevel="1"/>
    <col min="17" max="17" width="12.75" style="97" customWidth="1" outlineLevel="1"/>
    <col min="18" max="18" width="32.875" style="97" customWidth="1" outlineLevel="1"/>
    <col min="19" max="19" width="9.125" style="97" customWidth="1"/>
    <col min="20" max="20" width="9.625" style="97" customWidth="1" outlineLevel="1"/>
    <col min="21" max="21" width="12.75" style="97" customWidth="1" outlineLevel="1"/>
    <col min="22" max="22" width="32.875" style="97" customWidth="1" outlineLevel="1"/>
    <col min="23" max="16384" width="9" style="97"/>
  </cols>
  <sheetData>
    <row r="2" spans="2:22" ht="13.5" customHeight="1">
      <c r="B2" s="359" t="s">
        <v>146</v>
      </c>
      <c r="C2" s="360"/>
      <c r="D2" s="360"/>
      <c r="E2" s="360"/>
      <c r="F2" s="360"/>
      <c r="G2" s="360"/>
      <c r="H2" s="360"/>
      <c r="I2" s="360"/>
      <c r="J2" s="360"/>
      <c r="K2" s="360"/>
      <c r="L2" s="361"/>
      <c r="M2" s="362"/>
      <c r="N2" s="96"/>
    </row>
    <row r="3" spans="2:22" ht="13.5" customHeight="1">
      <c r="B3" s="363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5"/>
      <c r="N3" s="96"/>
    </row>
    <row r="4" spans="2:22" ht="20.25" customHeight="1">
      <c r="B4" s="366" t="s">
        <v>147</v>
      </c>
      <c r="C4" s="338"/>
      <c r="D4" s="339"/>
      <c r="E4" s="339"/>
      <c r="F4" s="339"/>
      <c r="G4" s="339"/>
      <c r="H4" s="339"/>
      <c r="I4" s="339"/>
      <c r="J4" s="339"/>
      <c r="K4" s="339"/>
      <c r="L4" s="339"/>
      <c r="M4" s="340"/>
      <c r="N4" s="98"/>
      <c r="O4" s="367" t="s">
        <v>586</v>
      </c>
      <c r="P4" s="368"/>
      <c r="Q4" s="368"/>
      <c r="R4" s="369"/>
      <c r="S4" s="367" t="s">
        <v>587</v>
      </c>
      <c r="T4" s="368"/>
      <c r="U4" s="368"/>
      <c r="V4" s="369"/>
    </row>
    <row r="5" spans="2:22" ht="30.75" customHeight="1">
      <c r="B5" s="337"/>
      <c r="C5" s="341"/>
      <c r="D5" s="342"/>
      <c r="E5" s="342"/>
      <c r="F5" s="342"/>
      <c r="G5" s="342"/>
      <c r="H5" s="342"/>
      <c r="I5" s="342"/>
      <c r="J5" s="342"/>
      <c r="K5" s="342"/>
      <c r="L5" s="342"/>
      <c r="M5" s="343"/>
      <c r="N5" s="98" t="s">
        <v>148</v>
      </c>
      <c r="O5" s="370"/>
      <c r="P5" s="371"/>
      <c r="Q5" s="371"/>
      <c r="R5" s="372"/>
      <c r="S5" s="370"/>
      <c r="T5" s="371"/>
      <c r="U5" s="371"/>
      <c r="V5" s="372"/>
    </row>
    <row r="6" spans="2:22" ht="29.25" customHeight="1">
      <c r="B6" s="337" t="s">
        <v>149</v>
      </c>
      <c r="C6" s="338"/>
      <c r="D6" s="339"/>
      <c r="E6" s="339"/>
      <c r="F6" s="339"/>
      <c r="G6" s="339"/>
      <c r="H6" s="339"/>
      <c r="I6" s="339"/>
      <c r="J6" s="339"/>
      <c r="K6" s="339"/>
      <c r="L6" s="339"/>
      <c r="M6" s="340"/>
      <c r="N6" s="98" t="s">
        <v>150</v>
      </c>
      <c r="O6" s="373"/>
      <c r="P6" s="374"/>
      <c r="Q6" s="374"/>
      <c r="R6" s="375"/>
      <c r="S6" s="373"/>
      <c r="T6" s="374"/>
      <c r="U6" s="374"/>
      <c r="V6" s="375"/>
    </row>
    <row r="7" spans="2:22" ht="48" customHeight="1">
      <c r="B7" s="337"/>
      <c r="C7" s="341"/>
      <c r="D7" s="342"/>
      <c r="E7" s="342"/>
      <c r="F7" s="342"/>
      <c r="G7" s="342"/>
      <c r="H7" s="342"/>
      <c r="I7" s="342"/>
      <c r="J7" s="342"/>
      <c r="K7" s="342"/>
      <c r="L7" s="342"/>
      <c r="M7" s="343"/>
      <c r="N7" s="98" t="s">
        <v>151</v>
      </c>
      <c r="O7" s="376"/>
      <c r="P7" s="377"/>
      <c r="Q7" s="377"/>
      <c r="R7" s="378"/>
      <c r="S7" s="376"/>
      <c r="T7" s="377"/>
      <c r="U7" s="377"/>
      <c r="V7" s="378"/>
    </row>
    <row r="8" spans="2:22" ht="21.75" customHeight="1">
      <c r="B8" s="337" t="s">
        <v>152</v>
      </c>
      <c r="C8" s="338"/>
      <c r="D8" s="339"/>
      <c r="E8" s="339"/>
      <c r="F8" s="339"/>
      <c r="G8" s="339"/>
      <c r="H8" s="339"/>
      <c r="I8" s="339"/>
      <c r="J8" s="339"/>
      <c r="K8" s="339"/>
      <c r="L8" s="339"/>
      <c r="M8" s="340"/>
      <c r="N8" s="98" t="s">
        <v>153</v>
      </c>
      <c r="O8" s="344"/>
      <c r="P8" s="345"/>
      <c r="Q8" s="345"/>
      <c r="R8" s="346"/>
      <c r="S8" s="344"/>
      <c r="T8" s="345"/>
      <c r="U8" s="345"/>
      <c r="V8" s="346"/>
    </row>
    <row r="9" spans="2:22" ht="45" customHeight="1">
      <c r="B9" s="337"/>
      <c r="C9" s="341"/>
      <c r="D9" s="342"/>
      <c r="E9" s="342"/>
      <c r="F9" s="342"/>
      <c r="G9" s="342"/>
      <c r="H9" s="342"/>
      <c r="I9" s="342"/>
      <c r="J9" s="342"/>
      <c r="K9" s="342"/>
      <c r="L9" s="342"/>
      <c r="M9" s="343"/>
      <c r="N9" s="98" t="s">
        <v>154</v>
      </c>
      <c r="O9" s="344" t="s">
        <v>155</v>
      </c>
      <c r="P9" s="345"/>
      <c r="Q9" s="346"/>
      <c r="R9" s="99" t="s">
        <v>156</v>
      </c>
      <c r="S9" s="344" t="s">
        <v>155</v>
      </c>
      <c r="T9" s="345"/>
      <c r="U9" s="346"/>
      <c r="V9" s="99" t="s">
        <v>156</v>
      </c>
    </row>
    <row r="10" spans="2:22">
      <c r="B10" s="347"/>
      <c r="C10" s="350"/>
      <c r="D10" s="351"/>
      <c r="E10" s="351"/>
      <c r="F10" s="351"/>
      <c r="G10" s="351"/>
      <c r="H10" s="351"/>
      <c r="I10" s="351"/>
      <c r="J10" s="351"/>
      <c r="K10" s="351"/>
      <c r="L10" s="351"/>
      <c r="M10" s="352"/>
      <c r="N10" s="100" t="s">
        <v>157</v>
      </c>
      <c r="O10" s="331">
        <f>COUNTIF($F$23:$F$68447,"用例")+COUNTIF($F$23:$F$68447,"子用例")+COUNTIF($F$23:$F$68447,"新增用例")+COUNTIF($F$23:$F$68447,"子-子用例")</f>
        <v>111</v>
      </c>
      <c r="P10" s="332"/>
      <c r="Q10" s="332"/>
      <c r="R10" s="333"/>
      <c r="S10" s="331">
        <f>COUNTIF($F$23:$F$68447,"用例")+COUNTIF($F$23:$F$68447,"子用例")+COUNTIF($F$23:$F$68447,"新增用例")+COUNTIF($F$23:$F$68447,"子-子用例")</f>
        <v>111</v>
      </c>
      <c r="T10" s="332"/>
      <c r="U10" s="332"/>
      <c r="V10" s="333"/>
    </row>
    <row r="11" spans="2:22">
      <c r="B11" s="348"/>
      <c r="C11" s="353"/>
      <c r="D11" s="354"/>
      <c r="E11" s="354"/>
      <c r="F11" s="354"/>
      <c r="G11" s="354"/>
      <c r="H11" s="354"/>
      <c r="I11" s="354"/>
      <c r="J11" s="354"/>
      <c r="K11" s="354"/>
      <c r="L11" s="354"/>
      <c r="M11" s="355"/>
      <c r="N11" s="100" t="s">
        <v>158</v>
      </c>
      <c r="O11" s="331">
        <f>SUMPRODUCT(($F$22:$F$68447="用例")*(Q22:Q68447="P")*1)+SUMPRODUCT(($F$22:$F$68447="子用例")*(Q22:Q68447="P")*1)+SUMPRODUCT(($F$22:$F$68447="新增用例")*(Q22:Q68447="P")*1)+SUMPRODUCT(($F$22:$F$68447="子-子用例")*(Q22:Q68447="P")*1)</f>
        <v>0</v>
      </c>
      <c r="P11" s="332"/>
      <c r="Q11" s="332"/>
      <c r="R11" s="333"/>
      <c r="S11" s="331">
        <f>SUMPRODUCT(($F$22:$F$68447="用例")*(U22:U68447="P")*1)+SUMPRODUCT(($F$22:$F$68447="子用例")*(U22:U68447="P")*1)+SUMPRODUCT(($F$22:$F$68447="新增用例")*(U22:U68447="P")*1)+SUMPRODUCT(($F$22:$F$68447="子-子用例")*(U22:U68447="P")*1)</f>
        <v>0</v>
      </c>
      <c r="T11" s="332"/>
      <c r="U11" s="332"/>
      <c r="V11" s="333"/>
    </row>
    <row r="12" spans="2:22">
      <c r="B12" s="348"/>
      <c r="C12" s="353"/>
      <c r="D12" s="354"/>
      <c r="E12" s="354"/>
      <c r="F12" s="354"/>
      <c r="G12" s="354"/>
      <c r="H12" s="354"/>
      <c r="I12" s="354"/>
      <c r="J12" s="354"/>
      <c r="K12" s="354"/>
      <c r="L12" s="354"/>
      <c r="M12" s="355"/>
      <c r="N12" s="100" t="s">
        <v>159</v>
      </c>
      <c r="O12" s="331">
        <f>SUMPRODUCT(($F$22:$F$68447="用例")*(Q22:Q68447="F")*1)+SUMPRODUCT(($F$22:$F$68447="子用例")*(Q22:Q68447="F")*1)+SUMPRODUCT(($F$22:$F$68447="新增用例")*(Q22:Q68447="F")*1)+SUMPRODUCT(($F$22:$F$68447="子-子用例")*(Q22:Q68447="F")*1)</f>
        <v>0</v>
      </c>
      <c r="P12" s="332"/>
      <c r="Q12" s="332"/>
      <c r="R12" s="333"/>
      <c r="S12" s="331">
        <f>SUMPRODUCT(($F$22:$F$68447="用例")*(U22:U68447="F")*1)+SUMPRODUCT(($F$22:$F$68447="子用例")*(U22:U68447="F")*1)+SUMPRODUCT(($F$22:$F$68447="新增用例")*(U22:U68447="F")*1)+SUMPRODUCT(($F$22:$F$68447="子-子用例")*(U22:U68447="F")*1)</f>
        <v>0</v>
      </c>
      <c r="T12" s="332"/>
      <c r="U12" s="332"/>
      <c r="V12" s="333"/>
    </row>
    <row r="13" spans="2:22">
      <c r="B13" s="348"/>
      <c r="C13" s="353"/>
      <c r="D13" s="354"/>
      <c r="E13" s="354"/>
      <c r="F13" s="354"/>
      <c r="G13" s="354"/>
      <c r="H13" s="354"/>
      <c r="I13" s="354"/>
      <c r="J13" s="354"/>
      <c r="K13" s="354"/>
      <c r="L13" s="354"/>
      <c r="M13" s="355"/>
      <c r="N13" s="100" t="s">
        <v>160</v>
      </c>
      <c r="O13" s="331">
        <f>SUMPRODUCT(($F$23:$F$67707="用例")*(Q23:Q67707="-")*1)+SUMPRODUCT(($F$23:$F$67707="子用例")*(Q23:Q67707="-")*1)+SUMPRODUCT(($F$23:$F$67707="子-子用例")*(Q23:Q67707="-")*1)+SUMPRODUCT(($F$23:$F$67707="新增用例")*(Q23:Q67707="-")*1)</f>
        <v>111</v>
      </c>
      <c r="P13" s="332"/>
      <c r="Q13" s="332"/>
      <c r="R13" s="333"/>
      <c r="S13" s="331">
        <f>SUMPRODUCT(($F$23:$F$67707="用例")*(U23:U67707="-")*1)+SUMPRODUCT(($F$23:$F$67707="子用例")*(U23:U67707="-")*1)+SUMPRODUCT(($F$23:$F$67707="子-子用例")*(U23:U67707="-")*1)+SUMPRODUCT(($F$23:$F$67707="新增用例")*(U23:U67707="-")*1)</f>
        <v>111</v>
      </c>
      <c r="T13" s="332"/>
      <c r="U13" s="332"/>
      <c r="V13" s="333"/>
    </row>
    <row r="14" spans="2:22">
      <c r="B14" s="348"/>
      <c r="C14" s="353"/>
      <c r="D14" s="354"/>
      <c r="E14" s="354"/>
      <c r="F14" s="354"/>
      <c r="G14" s="354"/>
      <c r="H14" s="354"/>
      <c r="I14" s="354"/>
      <c r="J14" s="354"/>
      <c r="K14" s="354"/>
      <c r="L14" s="354"/>
      <c r="M14" s="355"/>
      <c r="N14" s="100" t="s">
        <v>588</v>
      </c>
      <c r="O14" s="331">
        <f>SUMPRODUCT(($F$23:$F$67707="用例")*(O23:O67707="Y")*1)+SUMPRODUCT(($F$23:$F$67707="子用例")*(O23:O67707="Y")*1)+SUMPRODUCT(($F$23:$F$67707="新增用例")*(O23:O67707="Y")*1)+SUMPRODUCT(($F$23:$F$67707="子-子用例")*(O23:O67707="Y")*1)</f>
        <v>0</v>
      </c>
      <c r="P14" s="332"/>
      <c r="Q14" s="332"/>
      <c r="R14" s="333"/>
      <c r="S14" s="331">
        <f>SUMPRODUCT(($F$23:$F$67707="用例")*(S23:S67707="Y")*1)+SUMPRODUCT(($F$23:$F$67707="子用例")*(S23:S67707="Y")*1)+SUMPRODUCT(($F$23:$F$67707="新增用例")*(S23:S67707="Y")*1)+SUMPRODUCT(($F$23:$F$67707="子-子用例")*(S23:S67707="Y")*1)</f>
        <v>0</v>
      </c>
      <c r="T14" s="332"/>
      <c r="U14" s="332"/>
      <c r="V14" s="333"/>
    </row>
    <row r="15" spans="2:22" ht="13.5" customHeight="1">
      <c r="B15" s="349"/>
      <c r="C15" s="356"/>
      <c r="D15" s="357"/>
      <c r="E15" s="357"/>
      <c r="F15" s="357"/>
      <c r="G15" s="357"/>
      <c r="H15" s="357"/>
      <c r="I15" s="357"/>
      <c r="J15" s="357"/>
      <c r="K15" s="357"/>
      <c r="L15" s="357"/>
      <c r="M15" s="358"/>
      <c r="N15" s="100" t="s">
        <v>161</v>
      </c>
      <c r="O15" s="334">
        <f>SUMPRODUCT(($F$22:$F$62176="新增用例")*(Q22:Q62176="New")*1)</f>
        <v>0</v>
      </c>
      <c r="P15" s="335"/>
      <c r="Q15" s="335"/>
      <c r="R15" s="336"/>
      <c r="S15" s="334">
        <f>SUMPRODUCT(($F$22:$F$62176="新增用例")*(U22:U62176="New")*1)</f>
        <v>0</v>
      </c>
      <c r="T15" s="335"/>
      <c r="U15" s="335"/>
      <c r="V15" s="336"/>
    </row>
    <row r="16" spans="2:22" ht="14.25" customHeight="1">
      <c r="B16" s="320"/>
      <c r="C16" s="322"/>
      <c r="D16" s="323"/>
      <c r="E16" s="323"/>
      <c r="F16" s="323"/>
      <c r="G16" s="323"/>
      <c r="H16" s="323"/>
      <c r="I16" s="323"/>
      <c r="J16" s="323"/>
      <c r="K16" s="323"/>
      <c r="L16" s="323"/>
      <c r="M16" s="324"/>
      <c r="N16" s="101" t="s">
        <v>162</v>
      </c>
      <c r="O16" s="331">
        <f>SUMPRODUCT(($F$22:$F$68447="新增用例")*($H$22:$H$68447="冒烟")*1)+SUMPRODUCT(($F$22:$F$68447="用例")*($H$22:$H$68447="冒烟")*1)+SUMPRODUCT(($F$22:$F$68447="子用例")*($H$22:$H$68447="冒烟")*1)+SUMPRODUCT(($F$22:$F$68447="子-子用例")*($H$22:$H$68447="冒烟")*1)</f>
        <v>9</v>
      </c>
      <c r="P16" s="332"/>
      <c r="Q16" s="332"/>
      <c r="R16" s="333"/>
      <c r="S16" s="331">
        <f>SUMPRODUCT(($F$22:$F$68447="新增用例")*($H$22:$H$68447="冒烟")*1)+SUMPRODUCT(($F$22:$F$68447="用例")*($H$22:$H$68447="冒烟")*1)+SUMPRODUCT(($F$22:$F$68447="子用例")*($H$22:$H$68447="冒烟")*1)+SUMPRODUCT(($F$22:$F$68447="子-子用例")*($H$22:$H$68447="冒烟")*1)</f>
        <v>9</v>
      </c>
      <c r="T16" s="332"/>
      <c r="U16" s="332"/>
      <c r="V16" s="333"/>
    </row>
    <row r="17" spans="2:22">
      <c r="B17" s="320"/>
      <c r="C17" s="325"/>
      <c r="D17" s="326"/>
      <c r="E17" s="326"/>
      <c r="F17" s="326"/>
      <c r="G17" s="326"/>
      <c r="H17" s="326"/>
      <c r="I17" s="326"/>
      <c r="J17" s="326"/>
      <c r="K17" s="326"/>
      <c r="L17" s="326"/>
      <c r="M17" s="327"/>
      <c r="N17" s="101" t="s">
        <v>163</v>
      </c>
      <c r="O17" s="331">
        <f>SUMPRODUCT(($F$22:$F$68447="新增用例")*($H$22:$H$68447="高")*1)+SUMPRODUCT(($F$22:$F$68447="用例")*($H$22:$H$68447="高")*1)+SUMPRODUCT(($F$22:$F$68447="子用例")*($H$22:$H$68447="高")*1)+SUMPRODUCT(($F$22:$F$68447="子-子用例")*($H$22:$H$68447="高")*1)</f>
        <v>56</v>
      </c>
      <c r="P17" s="332"/>
      <c r="Q17" s="332"/>
      <c r="R17" s="333"/>
      <c r="S17" s="331">
        <f>SUMPRODUCT(($F$22:$F$68447="新增用例")*($H$22:$H$68447="高")*1)+SUMPRODUCT(($F$22:$F$68447="用例")*($H$22:$H$68447="高")*1)+SUMPRODUCT(($F$22:$F$68447="子用例")*($H$22:$H$68447="高")*1)+SUMPRODUCT(($F$22:$F$68447="子-子用例")*($H$22:$H$68447="高")*1)</f>
        <v>56</v>
      </c>
      <c r="T17" s="332"/>
      <c r="U17" s="332"/>
      <c r="V17" s="333"/>
    </row>
    <row r="18" spans="2:22">
      <c r="B18" s="320"/>
      <c r="C18" s="325"/>
      <c r="D18" s="326"/>
      <c r="E18" s="326"/>
      <c r="F18" s="326"/>
      <c r="G18" s="326"/>
      <c r="H18" s="326"/>
      <c r="I18" s="326"/>
      <c r="J18" s="326"/>
      <c r="K18" s="326"/>
      <c r="L18" s="326"/>
      <c r="M18" s="327"/>
      <c r="N18" s="101" t="s">
        <v>164</v>
      </c>
      <c r="O18" s="331">
        <f>SUMPRODUCT(($F$22:$F$68447="新增用例")*($H$22:$H$68447="中")*1)+SUMPRODUCT(($F$22:$F$68447="用例")*($H$22:$H$68447="中")*1)+SUMPRODUCT(($F$22:$F$68447="子用例")*($H$22:$H$68447="中")*1)+SUMPRODUCT(($F$22:$F$68447="子-子用例")*($H$22:$H$68447="中")*1)</f>
        <v>43</v>
      </c>
      <c r="P18" s="332"/>
      <c r="Q18" s="332"/>
      <c r="R18" s="333"/>
      <c r="S18" s="331">
        <f>SUMPRODUCT(($F$22:$F$68447="新增用例")*($H$22:$H$68447="中")*1)+SUMPRODUCT(($F$22:$F$68447="用例")*($H$22:$H$68447="中")*1)+SUMPRODUCT(($F$22:$F$68447="子用例")*($H$22:$H$68447="中")*1)+SUMPRODUCT(($F$22:$F$68447="子-子用例")*($H$22:$H$68447="中")*1)</f>
        <v>43</v>
      </c>
      <c r="T18" s="332"/>
      <c r="U18" s="332"/>
      <c r="V18" s="333"/>
    </row>
    <row r="19" spans="2:22">
      <c r="B19" s="321"/>
      <c r="C19" s="328"/>
      <c r="D19" s="329"/>
      <c r="E19" s="329"/>
      <c r="F19" s="329"/>
      <c r="G19" s="329"/>
      <c r="H19" s="329"/>
      <c r="I19" s="329"/>
      <c r="J19" s="329"/>
      <c r="K19" s="329"/>
      <c r="L19" s="329"/>
      <c r="M19" s="330"/>
      <c r="N19" s="101" t="s">
        <v>165</v>
      </c>
      <c r="O19" s="331">
        <f>SUMPRODUCT(($F$22:$F$68447="新增用例")*($H$22:$H$68447="低")*1)+SUMPRODUCT(($F$22:$F$68447="用例")*($H$22:$H$68447="低")*1)+SUMPRODUCT(($F$22:$F$68447="子用例")*($H$22:$H$68447="低")*1)+SUMPRODUCT(($F$22:$F$68447="子-子用例")*($H$22:$H$68447="低")*1)</f>
        <v>3</v>
      </c>
      <c r="P19" s="332"/>
      <c r="Q19" s="332"/>
      <c r="R19" s="333"/>
      <c r="S19" s="331">
        <f>SUMPRODUCT(($F$22:$F$68447="新增用例")*($H$22:$H$68447="低")*1)+SUMPRODUCT(($F$22:$F$68447="用例")*($H$22:$H$68447="低")*1)+SUMPRODUCT(($F$22:$F$68447="子用例")*($H$22:$H$68447="低")*1)+SUMPRODUCT(($F$22:$F$68447="子-子用例")*($H$22:$H$68447="低")*1)</f>
        <v>3</v>
      </c>
      <c r="T19" s="332"/>
      <c r="U19" s="332"/>
      <c r="V19" s="333"/>
    </row>
    <row r="20" spans="2:22">
      <c r="B20" s="102"/>
      <c r="C20" s="102"/>
      <c r="D20" s="102"/>
      <c r="E20" s="102"/>
      <c r="F20" s="307"/>
      <c r="G20" s="308"/>
      <c r="H20" s="308"/>
      <c r="I20" s="308"/>
      <c r="J20" s="308"/>
      <c r="K20" s="308"/>
      <c r="L20" s="308"/>
      <c r="M20" s="309"/>
      <c r="N20" s="101" t="s">
        <v>166</v>
      </c>
      <c r="O20" s="310">
        <f>(O11+O12)/O10</f>
        <v>0</v>
      </c>
      <c r="P20" s="311"/>
      <c r="Q20" s="311"/>
      <c r="R20" s="312"/>
      <c r="S20" s="310">
        <f>(S11+S12)/S10</f>
        <v>0</v>
      </c>
      <c r="T20" s="311"/>
      <c r="U20" s="311"/>
      <c r="V20" s="312"/>
    </row>
    <row r="21" spans="2:22" ht="33.75" customHeight="1">
      <c r="B21" s="103" t="s">
        <v>167</v>
      </c>
      <c r="C21" s="103" t="s">
        <v>168</v>
      </c>
      <c r="D21" s="103" t="s">
        <v>9</v>
      </c>
      <c r="E21" s="103" t="s">
        <v>169</v>
      </c>
      <c r="F21" s="103" t="s">
        <v>199</v>
      </c>
      <c r="G21" s="103" t="s">
        <v>170</v>
      </c>
      <c r="H21" s="104" t="s">
        <v>171</v>
      </c>
      <c r="I21" s="104" t="s">
        <v>172</v>
      </c>
      <c r="J21" s="105" t="s">
        <v>173</v>
      </c>
      <c r="K21" s="106" t="s">
        <v>174</v>
      </c>
      <c r="L21" s="103" t="s">
        <v>175</v>
      </c>
      <c r="M21" s="313" t="s">
        <v>176</v>
      </c>
      <c r="N21" s="314"/>
      <c r="O21" s="103" t="s">
        <v>7</v>
      </c>
      <c r="P21" s="103" t="s">
        <v>8</v>
      </c>
      <c r="Q21" s="103" t="s">
        <v>177</v>
      </c>
      <c r="R21" s="103" t="s">
        <v>178</v>
      </c>
      <c r="S21" s="103" t="s">
        <v>7</v>
      </c>
      <c r="T21" s="103" t="s">
        <v>8</v>
      </c>
      <c r="U21" s="103" t="s">
        <v>177</v>
      </c>
      <c r="V21" s="103" t="s">
        <v>178</v>
      </c>
    </row>
    <row r="22" spans="2:22" ht="91.5" customHeight="1">
      <c r="B22" s="108" t="s">
        <v>179</v>
      </c>
      <c r="C22" s="108" t="s">
        <v>180</v>
      </c>
      <c r="D22" s="108" t="s">
        <v>181</v>
      </c>
      <c r="E22" s="108" t="s">
        <v>182</v>
      </c>
      <c r="F22" s="109"/>
      <c r="G22" s="110"/>
      <c r="H22" s="111" t="s">
        <v>183</v>
      </c>
      <c r="I22" s="111" t="s">
        <v>184</v>
      </c>
      <c r="J22" s="112"/>
      <c r="K22" s="113"/>
      <c r="L22" s="110"/>
      <c r="M22" s="315"/>
      <c r="N22" s="316"/>
      <c r="O22" s="108" t="s">
        <v>185</v>
      </c>
      <c r="P22" s="108" t="s">
        <v>186</v>
      </c>
      <c r="Q22" s="112" t="s">
        <v>589</v>
      </c>
      <c r="R22" s="108"/>
      <c r="S22" s="108" t="s">
        <v>185</v>
      </c>
      <c r="T22" s="108" t="s">
        <v>186</v>
      </c>
      <c r="U22" s="112" t="s">
        <v>589</v>
      </c>
      <c r="V22" s="108"/>
    </row>
    <row r="23" spans="2:22" ht="27" customHeight="1">
      <c r="B23" s="317" t="s">
        <v>187</v>
      </c>
      <c r="C23" s="317"/>
      <c r="D23" s="317"/>
      <c r="E23" s="317"/>
      <c r="F23" s="318"/>
      <c r="G23" s="318"/>
      <c r="H23" s="318"/>
      <c r="I23" s="318"/>
      <c r="J23" s="318"/>
      <c r="K23" s="318"/>
      <c r="L23" s="318"/>
      <c r="M23" s="318"/>
      <c r="N23" s="319"/>
      <c r="O23" s="114"/>
      <c r="P23" s="114"/>
      <c r="Q23" s="114"/>
      <c r="R23" s="114"/>
      <c r="S23" s="114"/>
      <c r="T23" s="114"/>
      <c r="U23" s="114"/>
      <c r="V23" s="114"/>
    </row>
    <row r="24" spans="2:22" ht="24" customHeight="1" outlineLevel="1" collapsed="1">
      <c r="B24" s="275" t="s">
        <v>188</v>
      </c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6"/>
      <c r="O24" s="115"/>
      <c r="P24" s="115"/>
      <c r="Q24" s="115"/>
      <c r="R24" s="115"/>
      <c r="S24" s="115"/>
      <c r="T24" s="115"/>
      <c r="U24" s="115"/>
      <c r="V24" s="115"/>
    </row>
    <row r="25" spans="2:22" ht="69" hidden="1" customHeight="1" outlineLevel="4">
      <c r="B25" s="116" t="s">
        <v>189</v>
      </c>
      <c r="C25" s="116"/>
      <c r="D25" s="116" t="s">
        <v>190</v>
      </c>
      <c r="E25" s="116" t="s">
        <v>191</v>
      </c>
      <c r="F25" s="117" t="s">
        <v>192</v>
      </c>
      <c r="G25" s="118" t="s">
        <v>193</v>
      </c>
      <c r="H25" s="119" t="s">
        <v>194</v>
      </c>
      <c r="I25" s="119" t="s">
        <v>195</v>
      </c>
      <c r="J25" s="120" t="s">
        <v>196</v>
      </c>
      <c r="K25" s="121" t="s">
        <v>197</v>
      </c>
      <c r="L25" s="122"/>
      <c r="M25" s="287"/>
      <c r="N25" s="287"/>
      <c r="O25" s="123" t="s">
        <v>198</v>
      </c>
      <c r="P25" s="124"/>
      <c r="Q25" s="125" t="s">
        <v>50</v>
      </c>
      <c r="R25" s="124"/>
      <c r="S25" s="123" t="s">
        <v>198</v>
      </c>
      <c r="T25" s="124"/>
      <c r="U25" s="125" t="s">
        <v>50</v>
      </c>
      <c r="V25" s="124"/>
    </row>
    <row r="26" spans="2:22" ht="69" hidden="1" customHeight="1" outlineLevel="5">
      <c r="B26" s="126"/>
      <c r="C26" s="126"/>
      <c r="D26" s="126"/>
      <c r="E26" s="126"/>
      <c r="F26" s="116" t="s">
        <v>199</v>
      </c>
      <c r="G26" s="127"/>
      <c r="H26" s="119"/>
      <c r="I26" s="119"/>
      <c r="J26" s="292" t="s">
        <v>200</v>
      </c>
      <c r="K26" s="294" t="s">
        <v>201</v>
      </c>
      <c r="L26" s="118" t="s">
        <v>202</v>
      </c>
      <c r="M26" s="287" t="s">
        <v>203</v>
      </c>
      <c r="N26" s="287"/>
      <c r="O26" s="123" t="s">
        <v>198</v>
      </c>
      <c r="P26" s="124"/>
      <c r="Q26" s="125" t="s">
        <v>50</v>
      </c>
      <c r="R26" s="124"/>
      <c r="S26" s="123" t="s">
        <v>198</v>
      </c>
      <c r="T26" s="124"/>
      <c r="U26" s="125" t="s">
        <v>50</v>
      </c>
      <c r="V26" s="124"/>
    </row>
    <row r="27" spans="2:22" ht="57.75" hidden="1" customHeight="1" outlineLevel="5">
      <c r="B27" s="126"/>
      <c r="C27" s="126"/>
      <c r="D27" s="126"/>
      <c r="E27" s="126"/>
      <c r="F27" s="116" t="s">
        <v>199</v>
      </c>
      <c r="G27" s="127"/>
      <c r="H27" s="119"/>
      <c r="I27" s="119"/>
      <c r="J27" s="293"/>
      <c r="K27" s="295"/>
      <c r="L27" s="128" t="s">
        <v>204</v>
      </c>
      <c r="M27" s="288" t="s">
        <v>205</v>
      </c>
      <c r="N27" s="288"/>
      <c r="O27" s="123" t="s">
        <v>198</v>
      </c>
      <c r="P27" s="124"/>
      <c r="Q27" s="125" t="s">
        <v>50</v>
      </c>
      <c r="R27" s="124"/>
      <c r="S27" s="123" t="s">
        <v>198</v>
      </c>
      <c r="T27" s="124"/>
      <c r="U27" s="125" t="s">
        <v>50</v>
      </c>
      <c r="V27" s="124"/>
    </row>
    <row r="28" spans="2:22" ht="61.5" hidden="1" customHeight="1" outlineLevel="5">
      <c r="B28" s="126"/>
      <c r="C28" s="126"/>
      <c r="D28" s="126"/>
      <c r="E28" s="126"/>
      <c r="F28" s="116" t="s">
        <v>199</v>
      </c>
      <c r="G28" s="127"/>
      <c r="H28" s="119"/>
      <c r="I28" s="119"/>
      <c r="J28" s="293"/>
      <c r="K28" s="295"/>
      <c r="L28" s="118" t="s">
        <v>206</v>
      </c>
      <c r="M28" s="287" t="s">
        <v>207</v>
      </c>
      <c r="N28" s="287"/>
      <c r="O28" s="123" t="s">
        <v>198</v>
      </c>
      <c r="P28" s="124"/>
      <c r="Q28" s="125" t="s">
        <v>50</v>
      </c>
      <c r="R28" s="124"/>
      <c r="S28" s="123" t="s">
        <v>198</v>
      </c>
      <c r="T28" s="124"/>
      <c r="U28" s="125" t="s">
        <v>50</v>
      </c>
      <c r="V28" s="124"/>
    </row>
    <row r="29" spans="2:22" ht="69" hidden="1" customHeight="1" outlineLevel="5">
      <c r="B29" s="126"/>
      <c r="C29" s="126"/>
      <c r="D29" s="126"/>
      <c r="E29" s="126"/>
      <c r="F29" s="116" t="s">
        <v>199</v>
      </c>
      <c r="G29" s="127"/>
      <c r="H29" s="119"/>
      <c r="I29" s="119"/>
      <c r="J29" s="292"/>
      <c r="K29" s="294" t="s">
        <v>208</v>
      </c>
      <c r="L29" s="118" t="s">
        <v>202</v>
      </c>
      <c r="M29" s="287" t="s">
        <v>203</v>
      </c>
      <c r="N29" s="287"/>
      <c r="O29" s="123" t="s">
        <v>198</v>
      </c>
      <c r="P29" s="124"/>
      <c r="Q29" s="125" t="s">
        <v>50</v>
      </c>
      <c r="R29" s="124"/>
      <c r="S29" s="123" t="s">
        <v>198</v>
      </c>
      <c r="T29" s="124"/>
      <c r="U29" s="125" t="s">
        <v>50</v>
      </c>
      <c r="V29" s="124"/>
    </row>
    <row r="30" spans="2:22" ht="57.75" hidden="1" customHeight="1" outlineLevel="5">
      <c r="B30" s="126"/>
      <c r="C30" s="126"/>
      <c r="D30" s="126"/>
      <c r="E30" s="126"/>
      <c r="F30" s="116" t="s">
        <v>199</v>
      </c>
      <c r="G30" s="127"/>
      <c r="H30" s="119"/>
      <c r="I30" s="119"/>
      <c r="J30" s="293"/>
      <c r="K30" s="295"/>
      <c r="L30" s="128" t="s">
        <v>204</v>
      </c>
      <c r="M30" s="288" t="s">
        <v>205</v>
      </c>
      <c r="N30" s="288"/>
      <c r="O30" s="123" t="s">
        <v>198</v>
      </c>
      <c r="P30" s="124"/>
      <c r="Q30" s="125" t="s">
        <v>50</v>
      </c>
      <c r="R30" s="124"/>
      <c r="S30" s="123" t="s">
        <v>198</v>
      </c>
      <c r="T30" s="124"/>
      <c r="U30" s="125" t="s">
        <v>50</v>
      </c>
      <c r="V30" s="124"/>
    </row>
    <row r="31" spans="2:22" ht="61.5" hidden="1" customHeight="1" outlineLevel="5">
      <c r="B31" s="126"/>
      <c r="C31" s="126"/>
      <c r="D31" s="126"/>
      <c r="E31" s="126"/>
      <c r="F31" s="116" t="s">
        <v>199</v>
      </c>
      <c r="G31" s="127"/>
      <c r="H31" s="119"/>
      <c r="I31" s="119"/>
      <c r="J31" s="293"/>
      <c r="K31" s="295"/>
      <c r="L31" s="118" t="s">
        <v>206</v>
      </c>
      <c r="M31" s="287" t="s">
        <v>207</v>
      </c>
      <c r="N31" s="287"/>
      <c r="O31" s="123" t="s">
        <v>198</v>
      </c>
      <c r="P31" s="124"/>
      <c r="Q31" s="125" t="s">
        <v>50</v>
      </c>
      <c r="R31" s="124"/>
      <c r="S31" s="123" t="s">
        <v>198</v>
      </c>
      <c r="T31" s="124"/>
      <c r="U31" s="125" t="s">
        <v>50</v>
      </c>
      <c r="V31" s="124"/>
    </row>
    <row r="32" spans="2:22" ht="69" hidden="1" customHeight="1" outlineLevel="5">
      <c r="B32" s="126"/>
      <c r="C32" s="126"/>
      <c r="D32" s="126"/>
      <c r="E32" s="126"/>
      <c r="F32" s="116" t="s">
        <v>199</v>
      </c>
      <c r="G32" s="127"/>
      <c r="H32" s="119"/>
      <c r="I32" s="119"/>
      <c r="J32" s="292"/>
      <c r="K32" s="294" t="s">
        <v>209</v>
      </c>
      <c r="L32" s="118" t="s">
        <v>202</v>
      </c>
      <c r="M32" s="287" t="s">
        <v>210</v>
      </c>
      <c r="N32" s="287"/>
      <c r="O32" s="123" t="s">
        <v>198</v>
      </c>
      <c r="P32" s="124"/>
      <c r="Q32" s="125" t="s">
        <v>50</v>
      </c>
      <c r="R32" s="124"/>
      <c r="S32" s="123" t="s">
        <v>198</v>
      </c>
      <c r="T32" s="124"/>
      <c r="U32" s="125" t="s">
        <v>50</v>
      </c>
      <c r="V32" s="124"/>
    </row>
    <row r="33" spans="2:22" ht="57.75" hidden="1" customHeight="1" outlineLevel="5">
      <c r="B33" s="126"/>
      <c r="C33" s="126"/>
      <c r="D33" s="126"/>
      <c r="E33" s="126"/>
      <c r="F33" s="116" t="s">
        <v>199</v>
      </c>
      <c r="G33" s="127"/>
      <c r="H33" s="119"/>
      <c r="I33" s="119"/>
      <c r="J33" s="293"/>
      <c r="K33" s="295"/>
      <c r="L33" s="128" t="s">
        <v>204</v>
      </c>
      <c r="M33" s="288" t="s">
        <v>211</v>
      </c>
      <c r="N33" s="288"/>
      <c r="O33" s="123" t="s">
        <v>198</v>
      </c>
      <c r="P33" s="124"/>
      <c r="Q33" s="125" t="s">
        <v>50</v>
      </c>
      <c r="R33" s="124"/>
      <c r="S33" s="123" t="s">
        <v>198</v>
      </c>
      <c r="T33" s="124"/>
      <c r="U33" s="125" t="s">
        <v>50</v>
      </c>
      <c r="V33" s="124"/>
    </row>
    <row r="34" spans="2:22" ht="61.5" hidden="1" customHeight="1" outlineLevel="5">
      <c r="B34" s="126"/>
      <c r="C34" s="126"/>
      <c r="D34" s="126"/>
      <c r="E34" s="126"/>
      <c r="F34" s="116" t="s">
        <v>199</v>
      </c>
      <c r="G34" s="127"/>
      <c r="H34" s="119"/>
      <c r="I34" s="119"/>
      <c r="J34" s="293"/>
      <c r="K34" s="295"/>
      <c r="L34" s="118" t="s">
        <v>206</v>
      </c>
      <c r="M34" s="287" t="s">
        <v>212</v>
      </c>
      <c r="N34" s="287"/>
      <c r="O34" s="123" t="s">
        <v>198</v>
      </c>
      <c r="P34" s="124"/>
      <c r="Q34" s="125" t="s">
        <v>50</v>
      </c>
      <c r="R34" s="124"/>
      <c r="S34" s="123" t="s">
        <v>198</v>
      </c>
      <c r="T34" s="124"/>
      <c r="U34" s="125" t="s">
        <v>50</v>
      </c>
      <c r="V34" s="124"/>
    </row>
    <row r="35" spans="2:22" s="134" customFormat="1" ht="57" hidden="1" customHeight="1" outlineLevel="4">
      <c r="B35" s="129" t="s">
        <v>213</v>
      </c>
      <c r="C35" s="129"/>
      <c r="D35" s="129"/>
      <c r="E35" s="129"/>
      <c r="F35" s="130" t="s">
        <v>214</v>
      </c>
      <c r="G35" s="131" t="s">
        <v>215</v>
      </c>
      <c r="H35" s="132" t="s">
        <v>216</v>
      </c>
      <c r="I35" s="119" t="s">
        <v>195</v>
      </c>
      <c r="J35" s="133"/>
      <c r="K35" s="131"/>
      <c r="L35" s="131"/>
      <c r="M35" s="299"/>
      <c r="N35" s="299"/>
      <c r="O35" s="123" t="s">
        <v>198</v>
      </c>
      <c r="P35" s="124"/>
      <c r="Q35" s="125" t="s">
        <v>50</v>
      </c>
      <c r="R35" s="124"/>
      <c r="S35" s="123" t="s">
        <v>198</v>
      </c>
      <c r="T35" s="124"/>
      <c r="U35" s="125" t="s">
        <v>50</v>
      </c>
      <c r="V35" s="124"/>
    </row>
    <row r="36" spans="2:22" ht="69" hidden="1" customHeight="1" outlineLevel="5">
      <c r="B36" s="126"/>
      <c r="C36" s="126"/>
      <c r="D36" s="126"/>
      <c r="E36" s="126"/>
      <c r="F36" s="116" t="s">
        <v>199</v>
      </c>
      <c r="G36" s="127"/>
      <c r="H36" s="119"/>
      <c r="I36" s="119"/>
      <c r="J36" s="292" t="s">
        <v>217</v>
      </c>
      <c r="K36" s="294" t="s">
        <v>218</v>
      </c>
      <c r="L36" s="118" t="s">
        <v>219</v>
      </c>
      <c r="M36" s="287" t="s">
        <v>220</v>
      </c>
      <c r="N36" s="287"/>
      <c r="O36" s="123" t="s">
        <v>198</v>
      </c>
      <c r="P36" s="124"/>
      <c r="Q36" s="125" t="s">
        <v>50</v>
      </c>
      <c r="R36" s="124"/>
      <c r="S36" s="123" t="s">
        <v>198</v>
      </c>
      <c r="T36" s="124"/>
      <c r="U36" s="125" t="s">
        <v>50</v>
      </c>
      <c r="V36" s="124"/>
    </row>
    <row r="37" spans="2:22" ht="57.75" hidden="1" customHeight="1" outlineLevel="5">
      <c r="B37" s="126"/>
      <c r="C37" s="126"/>
      <c r="D37" s="126"/>
      <c r="E37" s="126"/>
      <c r="F37" s="116" t="s">
        <v>199</v>
      </c>
      <c r="G37" s="127"/>
      <c r="H37" s="119"/>
      <c r="I37" s="119"/>
      <c r="J37" s="293"/>
      <c r="K37" s="295"/>
      <c r="L37" s="128" t="s">
        <v>204</v>
      </c>
      <c r="M37" s="288" t="s">
        <v>211</v>
      </c>
      <c r="N37" s="288"/>
      <c r="O37" s="123" t="s">
        <v>198</v>
      </c>
      <c r="P37" s="124"/>
      <c r="Q37" s="125" t="s">
        <v>50</v>
      </c>
      <c r="R37" s="124"/>
      <c r="S37" s="123" t="s">
        <v>198</v>
      </c>
      <c r="T37" s="124"/>
      <c r="U37" s="125" t="s">
        <v>50</v>
      </c>
      <c r="V37" s="124"/>
    </row>
    <row r="38" spans="2:22" ht="61.5" hidden="1" customHeight="1" outlineLevel="5">
      <c r="B38" s="126"/>
      <c r="C38" s="126"/>
      <c r="D38" s="126"/>
      <c r="E38" s="126"/>
      <c r="F38" s="116" t="s">
        <v>199</v>
      </c>
      <c r="G38" s="127"/>
      <c r="H38" s="119"/>
      <c r="I38" s="119"/>
      <c r="J38" s="293"/>
      <c r="K38" s="295"/>
      <c r="L38" s="118" t="s">
        <v>206</v>
      </c>
      <c r="M38" s="287" t="s">
        <v>212</v>
      </c>
      <c r="N38" s="287"/>
      <c r="O38" s="123" t="s">
        <v>198</v>
      </c>
      <c r="P38" s="124"/>
      <c r="Q38" s="125" t="s">
        <v>50</v>
      </c>
      <c r="R38" s="124"/>
      <c r="S38" s="123" t="s">
        <v>198</v>
      </c>
      <c r="T38" s="124"/>
      <c r="U38" s="125" t="s">
        <v>50</v>
      </c>
      <c r="V38" s="124"/>
    </row>
    <row r="39" spans="2:22" s="134" customFormat="1" ht="54" hidden="1" customHeight="1" outlineLevel="4">
      <c r="B39" s="129" t="s">
        <v>221</v>
      </c>
      <c r="C39" s="129"/>
      <c r="D39" s="129" t="s">
        <v>222</v>
      </c>
      <c r="E39" s="129"/>
      <c r="F39" s="130" t="s">
        <v>214</v>
      </c>
      <c r="G39" s="131" t="s">
        <v>223</v>
      </c>
      <c r="H39" s="132" t="s">
        <v>216</v>
      </c>
      <c r="I39" s="119" t="s">
        <v>195</v>
      </c>
      <c r="J39" s="135">
        <f>(198/60)*3.6*(3.1415/12.519)*(2*337/1000)</f>
        <v>2.0092952695902229</v>
      </c>
      <c r="K39" s="131"/>
      <c r="L39" s="131"/>
      <c r="M39" s="300"/>
      <c r="N39" s="301"/>
      <c r="O39" s="123" t="s">
        <v>198</v>
      </c>
      <c r="P39" s="124"/>
      <c r="Q39" s="125" t="s">
        <v>50</v>
      </c>
      <c r="R39" s="124"/>
      <c r="S39" s="123" t="s">
        <v>198</v>
      </c>
      <c r="T39" s="124"/>
      <c r="U39" s="125" t="s">
        <v>50</v>
      </c>
      <c r="V39" s="124"/>
    </row>
    <row r="40" spans="2:22" ht="69" hidden="1" customHeight="1" outlineLevel="5">
      <c r="B40" s="126"/>
      <c r="C40" s="126"/>
      <c r="D40" s="126"/>
      <c r="E40" s="126"/>
      <c r="F40" s="116" t="s">
        <v>199</v>
      </c>
      <c r="G40" s="127"/>
      <c r="H40" s="119"/>
      <c r="I40" s="119"/>
      <c r="J40" s="292" t="s">
        <v>217</v>
      </c>
      <c r="K40" s="294" t="s">
        <v>224</v>
      </c>
      <c r="L40" s="118" t="s">
        <v>219</v>
      </c>
      <c r="M40" s="283" t="s">
        <v>225</v>
      </c>
      <c r="N40" s="284"/>
      <c r="O40" s="123" t="s">
        <v>198</v>
      </c>
      <c r="P40" s="124"/>
      <c r="Q40" s="125" t="s">
        <v>50</v>
      </c>
      <c r="R40" s="124"/>
      <c r="S40" s="123" t="s">
        <v>198</v>
      </c>
      <c r="T40" s="124"/>
      <c r="U40" s="125" t="s">
        <v>50</v>
      </c>
      <c r="V40" s="124"/>
    </row>
    <row r="41" spans="2:22" ht="57.75" hidden="1" customHeight="1" outlineLevel="5">
      <c r="B41" s="126"/>
      <c r="C41" s="126"/>
      <c r="D41" s="126"/>
      <c r="E41" s="126"/>
      <c r="F41" s="116" t="s">
        <v>199</v>
      </c>
      <c r="G41" s="127"/>
      <c r="H41" s="119"/>
      <c r="I41" s="119"/>
      <c r="J41" s="293"/>
      <c r="K41" s="295"/>
      <c r="L41" s="128" t="s">
        <v>204</v>
      </c>
      <c r="M41" s="285" t="s">
        <v>211</v>
      </c>
      <c r="N41" s="286"/>
      <c r="O41" s="123" t="s">
        <v>198</v>
      </c>
      <c r="P41" s="124"/>
      <c r="Q41" s="125" t="s">
        <v>50</v>
      </c>
      <c r="R41" s="124"/>
      <c r="S41" s="123" t="s">
        <v>198</v>
      </c>
      <c r="T41" s="124"/>
      <c r="U41" s="125" t="s">
        <v>50</v>
      </c>
      <c r="V41" s="124"/>
    </row>
    <row r="42" spans="2:22" ht="61.5" hidden="1" customHeight="1" outlineLevel="5">
      <c r="B42" s="126"/>
      <c r="C42" s="126"/>
      <c r="D42" s="126"/>
      <c r="E42" s="126"/>
      <c r="F42" s="116" t="s">
        <v>199</v>
      </c>
      <c r="G42" s="127"/>
      <c r="H42" s="119"/>
      <c r="I42" s="119"/>
      <c r="J42" s="302"/>
      <c r="K42" s="303"/>
      <c r="L42" s="118" t="s">
        <v>206</v>
      </c>
      <c r="M42" s="283" t="s">
        <v>226</v>
      </c>
      <c r="N42" s="284"/>
      <c r="O42" s="123" t="s">
        <v>198</v>
      </c>
      <c r="P42" s="124"/>
      <c r="Q42" s="125" t="s">
        <v>50</v>
      </c>
      <c r="R42" s="124"/>
      <c r="S42" s="123" t="s">
        <v>198</v>
      </c>
      <c r="T42" s="124"/>
      <c r="U42" s="125" t="s">
        <v>50</v>
      </c>
      <c r="V42" s="124"/>
    </row>
    <row r="43" spans="2:22" s="134" customFormat="1" ht="60" hidden="1" customHeight="1" outlineLevel="4">
      <c r="B43" s="129" t="s">
        <v>227</v>
      </c>
      <c r="C43" s="129"/>
      <c r="D43" s="129"/>
      <c r="E43" s="129"/>
      <c r="F43" s="130" t="s">
        <v>214</v>
      </c>
      <c r="G43" s="131" t="s">
        <v>228</v>
      </c>
      <c r="H43" s="132" t="s">
        <v>216</v>
      </c>
      <c r="I43" s="119" t="s">
        <v>195</v>
      </c>
      <c r="J43" s="133"/>
      <c r="K43" s="131"/>
      <c r="L43" s="131"/>
      <c r="M43" s="300"/>
      <c r="N43" s="301"/>
      <c r="O43" s="123" t="s">
        <v>198</v>
      </c>
      <c r="P43" s="124"/>
      <c r="Q43" s="125" t="s">
        <v>50</v>
      </c>
      <c r="R43" s="124"/>
      <c r="S43" s="123" t="s">
        <v>198</v>
      </c>
      <c r="T43" s="124"/>
      <c r="U43" s="125" t="s">
        <v>50</v>
      </c>
      <c r="V43" s="124"/>
    </row>
    <row r="44" spans="2:22" ht="69" hidden="1" customHeight="1" outlineLevel="5">
      <c r="B44" s="126"/>
      <c r="C44" s="126"/>
      <c r="D44" s="126"/>
      <c r="E44" s="126"/>
      <c r="F44" s="116" t="s">
        <v>199</v>
      </c>
      <c r="G44" s="127"/>
      <c r="H44" s="119"/>
      <c r="I44" s="119"/>
      <c r="J44" s="292" t="s">
        <v>217</v>
      </c>
      <c r="K44" s="294" t="s">
        <v>229</v>
      </c>
      <c r="L44" s="118" t="s">
        <v>219</v>
      </c>
      <c r="M44" s="287" t="s">
        <v>220</v>
      </c>
      <c r="N44" s="287"/>
      <c r="O44" s="123" t="s">
        <v>198</v>
      </c>
      <c r="P44" s="124"/>
      <c r="Q44" s="125" t="s">
        <v>50</v>
      </c>
      <c r="R44" s="124"/>
      <c r="S44" s="123" t="s">
        <v>198</v>
      </c>
      <c r="T44" s="124"/>
      <c r="U44" s="125" t="s">
        <v>50</v>
      </c>
      <c r="V44" s="124"/>
    </row>
    <row r="45" spans="2:22" ht="57.75" hidden="1" customHeight="1" outlineLevel="5">
      <c r="B45" s="126"/>
      <c r="C45" s="126"/>
      <c r="D45" s="126"/>
      <c r="E45" s="126"/>
      <c r="F45" s="116" t="s">
        <v>199</v>
      </c>
      <c r="G45" s="127"/>
      <c r="H45" s="119"/>
      <c r="I45" s="119"/>
      <c r="J45" s="293"/>
      <c r="K45" s="295"/>
      <c r="L45" s="128" t="s">
        <v>204</v>
      </c>
      <c r="M45" s="288" t="s">
        <v>211</v>
      </c>
      <c r="N45" s="288"/>
      <c r="O45" s="123" t="s">
        <v>198</v>
      </c>
      <c r="P45" s="124"/>
      <c r="Q45" s="125" t="s">
        <v>50</v>
      </c>
      <c r="R45" s="124"/>
      <c r="S45" s="123" t="s">
        <v>198</v>
      </c>
      <c r="T45" s="124"/>
      <c r="U45" s="125" t="s">
        <v>50</v>
      </c>
      <c r="V45" s="124"/>
    </row>
    <row r="46" spans="2:22" ht="61.5" hidden="1" customHeight="1" outlineLevel="5">
      <c r="B46" s="126"/>
      <c r="C46" s="126"/>
      <c r="D46" s="126"/>
      <c r="E46" s="126"/>
      <c r="F46" s="116" t="s">
        <v>199</v>
      </c>
      <c r="G46" s="127"/>
      <c r="H46" s="119"/>
      <c r="I46" s="119"/>
      <c r="J46" s="293"/>
      <c r="K46" s="295"/>
      <c r="L46" s="118" t="s">
        <v>206</v>
      </c>
      <c r="M46" s="287" t="s">
        <v>212</v>
      </c>
      <c r="N46" s="287"/>
      <c r="O46" s="123" t="s">
        <v>198</v>
      </c>
      <c r="P46" s="124"/>
      <c r="Q46" s="125" t="s">
        <v>50</v>
      </c>
      <c r="R46" s="124"/>
      <c r="S46" s="123" t="s">
        <v>198</v>
      </c>
      <c r="T46" s="124"/>
      <c r="U46" s="125" t="s">
        <v>50</v>
      </c>
      <c r="V46" s="124"/>
    </row>
    <row r="47" spans="2:22" s="134" customFormat="1" ht="82.5" hidden="1" customHeight="1" outlineLevel="4">
      <c r="B47" s="129" t="s">
        <v>230</v>
      </c>
      <c r="C47" s="129"/>
      <c r="D47" s="129"/>
      <c r="E47" s="129"/>
      <c r="F47" s="136" t="s">
        <v>231</v>
      </c>
      <c r="G47" s="131" t="s">
        <v>232</v>
      </c>
      <c r="H47" s="132" t="s">
        <v>233</v>
      </c>
      <c r="I47" s="119" t="s">
        <v>195</v>
      </c>
      <c r="J47" s="137" t="s">
        <v>234</v>
      </c>
      <c r="K47" s="131"/>
      <c r="L47" s="131"/>
      <c r="M47" s="299"/>
      <c r="N47" s="299"/>
      <c r="O47" s="123" t="s">
        <v>198</v>
      </c>
      <c r="P47" s="124"/>
      <c r="Q47" s="125" t="s">
        <v>50</v>
      </c>
      <c r="R47" s="124"/>
      <c r="S47" s="123" t="s">
        <v>198</v>
      </c>
      <c r="T47" s="124"/>
      <c r="U47" s="125" t="s">
        <v>50</v>
      </c>
      <c r="V47" s="124"/>
    </row>
    <row r="48" spans="2:22" ht="69" hidden="1" customHeight="1" outlineLevel="5">
      <c r="B48" s="126"/>
      <c r="C48" s="126"/>
      <c r="D48" s="126"/>
      <c r="E48" s="126"/>
      <c r="F48" s="116" t="s">
        <v>199</v>
      </c>
      <c r="G48" s="127"/>
      <c r="H48" s="119"/>
      <c r="I48" s="119"/>
      <c r="J48" s="292" t="s">
        <v>235</v>
      </c>
      <c r="K48" s="294" t="s">
        <v>236</v>
      </c>
      <c r="L48" s="118" t="s">
        <v>219</v>
      </c>
      <c r="M48" s="287" t="s">
        <v>210</v>
      </c>
      <c r="N48" s="287"/>
      <c r="O48" s="123" t="s">
        <v>198</v>
      </c>
      <c r="P48" s="124"/>
      <c r="Q48" s="125" t="s">
        <v>50</v>
      </c>
      <c r="R48" s="124"/>
      <c r="S48" s="123" t="s">
        <v>198</v>
      </c>
      <c r="T48" s="124"/>
      <c r="U48" s="125" t="s">
        <v>50</v>
      </c>
      <c r="V48" s="124"/>
    </row>
    <row r="49" spans="2:22" ht="57.75" hidden="1" customHeight="1" outlineLevel="5">
      <c r="B49" s="126"/>
      <c r="C49" s="126"/>
      <c r="D49" s="126"/>
      <c r="E49" s="126"/>
      <c r="F49" s="116" t="s">
        <v>199</v>
      </c>
      <c r="G49" s="127"/>
      <c r="H49" s="119"/>
      <c r="I49" s="119"/>
      <c r="J49" s="293"/>
      <c r="K49" s="295"/>
      <c r="L49" s="128" t="s">
        <v>204</v>
      </c>
      <c r="M49" s="288" t="s">
        <v>211</v>
      </c>
      <c r="N49" s="288"/>
      <c r="O49" s="123" t="s">
        <v>198</v>
      </c>
      <c r="P49" s="124"/>
      <c r="Q49" s="125" t="s">
        <v>50</v>
      </c>
      <c r="R49" s="124"/>
      <c r="S49" s="123" t="s">
        <v>198</v>
      </c>
      <c r="T49" s="124"/>
      <c r="U49" s="125" t="s">
        <v>50</v>
      </c>
      <c r="V49" s="124"/>
    </row>
    <row r="50" spans="2:22" ht="61.5" hidden="1" customHeight="1" outlineLevel="5">
      <c r="B50" s="126"/>
      <c r="C50" s="126"/>
      <c r="D50" s="126"/>
      <c r="E50" s="126"/>
      <c r="F50" s="116" t="s">
        <v>199</v>
      </c>
      <c r="G50" s="127"/>
      <c r="H50" s="119"/>
      <c r="I50" s="119"/>
      <c r="J50" s="293"/>
      <c r="K50" s="295"/>
      <c r="L50" s="118" t="s">
        <v>206</v>
      </c>
      <c r="M50" s="287" t="s">
        <v>212</v>
      </c>
      <c r="N50" s="287"/>
      <c r="O50" s="123" t="s">
        <v>198</v>
      </c>
      <c r="P50" s="124"/>
      <c r="Q50" s="125" t="s">
        <v>50</v>
      </c>
      <c r="R50" s="124"/>
      <c r="S50" s="123" t="s">
        <v>198</v>
      </c>
      <c r="T50" s="124"/>
      <c r="U50" s="125" t="s">
        <v>50</v>
      </c>
      <c r="V50" s="124"/>
    </row>
    <row r="51" spans="2:22" s="134" customFormat="1" ht="82.5" hidden="1" customHeight="1" outlineLevel="4">
      <c r="B51" s="129" t="s">
        <v>237</v>
      </c>
      <c r="C51" s="129"/>
      <c r="D51" s="129"/>
      <c r="E51" s="129"/>
      <c r="F51" s="130" t="s">
        <v>214</v>
      </c>
      <c r="G51" s="131" t="s">
        <v>238</v>
      </c>
      <c r="H51" s="132" t="s">
        <v>233</v>
      </c>
      <c r="I51" s="119" t="s">
        <v>195</v>
      </c>
      <c r="J51" s="133"/>
      <c r="K51" s="131"/>
      <c r="L51" s="131"/>
      <c r="M51" s="299"/>
      <c r="N51" s="299"/>
      <c r="O51" s="123" t="s">
        <v>198</v>
      </c>
      <c r="P51" s="124"/>
      <c r="Q51" s="125" t="s">
        <v>50</v>
      </c>
      <c r="R51" s="124"/>
      <c r="S51" s="123" t="s">
        <v>198</v>
      </c>
      <c r="T51" s="124"/>
      <c r="U51" s="125" t="s">
        <v>50</v>
      </c>
      <c r="V51" s="124"/>
    </row>
    <row r="52" spans="2:22" ht="69" hidden="1" customHeight="1" outlineLevel="5">
      <c r="B52" s="126"/>
      <c r="C52" s="126"/>
      <c r="D52" s="126"/>
      <c r="E52" s="126"/>
      <c r="F52" s="116" t="s">
        <v>199</v>
      </c>
      <c r="G52" s="127"/>
      <c r="H52" s="119"/>
      <c r="I52" s="119"/>
      <c r="J52" s="292" t="s">
        <v>239</v>
      </c>
      <c r="K52" s="294" t="s">
        <v>218</v>
      </c>
      <c r="L52" s="118" t="s">
        <v>219</v>
      </c>
      <c r="M52" s="287" t="s">
        <v>240</v>
      </c>
      <c r="N52" s="287"/>
      <c r="O52" s="123" t="s">
        <v>198</v>
      </c>
      <c r="P52" s="124"/>
      <c r="Q52" s="125" t="s">
        <v>50</v>
      </c>
      <c r="R52" s="124"/>
      <c r="S52" s="123" t="s">
        <v>198</v>
      </c>
      <c r="T52" s="124"/>
      <c r="U52" s="125" t="s">
        <v>50</v>
      </c>
      <c r="V52" s="124"/>
    </row>
    <row r="53" spans="2:22" ht="57.75" hidden="1" customHeight="1" outlineLevel="5">
      <c r="B53" s="126"/>
      <c r="C53" s="126"/>
      <c r="D53" s="126"/>
      <c r="E53" s="126"/>
      <c r="F53" s="116" t="s">
        <v>199</v>
      </c>
      <c r="G53" s="127"/>
      <c r="H53" s="119"/>
      <c r="I53" s="119"/>
      <c r="J53" s="293"/>
      <c r="K53" s="295"/>
      <c r="L53" s="128" t="s">
        <v>204</v>
      </c>
      <c r="M53" s="288" t="s">
        <v>211</v>
      </c>
      <c r="N53" s="288"/>
      <c r="O53" s="123" t="s">
        <v>198</v>
      </c>
      <c r="P53" s="124"/>
      <c r="Q53" s="125" t="s">
        <v>50</v>
      </c>
      <c r="R53" s="124"/>
      <c r="S53" s="123" t="s">
        <v>198</v>
      </c>
      <c r="T53" s="124"/>
      <c r="U53" s="125" t="s">
        <v>50</v>
      </c>
      <c r="V53" s="124"/>
    </row>
    <row r="54" spans="2:22" ht="61.5" hidden="1" customHeight="1" outlineLevel="5">
      <c r="B54" s="126"/>
      <c r="C54" s="126"/>
      <c r="D54" s="126"/>
      <c r="E54" s="126"/>
      <c r="F54" s="116" t="s">
        <v>199</v>
      </c>
      <c r="G54" s="127"/>
      <c r="H54" s="119"/>
      <c r="I54" s="119"/>
      <c r="J54" s="293"/>
      <c r="K54" s="295"/>
      <c r="L54" s="118" t="s">
        <v>206</v>
      </c>
      <c r="M54" s="287" t="s">
        <v>241</v>
      </c>
      <c r="N54" s="287"/>
      <c r="O54" s="123" t="s">
        <v>198</v>
      </c>
      <c r="P54" s="124"/>
      <c r="Q54" s="125" t="s">
        <v>50</v>
      </c>
      <c r="R54" s="124"/>
      <c r="S54" s="123" t="s">
        <v>198</v>
      </c>
      <c r="T54" s="124"/>
      <c r="U54" s="125" t="s">
        <v>50</v>
      </c>
      <c r="V54" s="124"/>
    </row>
    <row r="55" spans="2:22" s="134" customFormat="1" ht="82.5" hidden="1" customHeight="1" outlineLevel="4">
      <c r="B55" s="129" t="s">
        <v>242</v>
      </c>
      <c r="C55" s="129"/>
      <c r="D55" s="129"/>
      <c r="E55" s="129"/>
      <c r="F55" s="136" t="s">
        <v>231</v>
      </c>
      <c r="G55" s="131" t="s">
        <v>243</v>
      </c>
      <c r="H55" s="132" t="s">
        <v>233</v>
      </c>
      <c r="I55" s="119" t="s">
        <v>195</v>
      </c>
      <c r="J55" s="133"/>
      <c r="K55" s="131"/>
      <c r="L55" s="131"/>
      <c r="M55" s="299"/>
      <c r="N55" s="299"/>
      <c r="O55" s="123" t="s">
        <v>198</v>
      </c>
      <c r="P55" s="124"/>
      <c r="Q55" s="125" t="s">
        <v>50</v>
      </c>
      <c r="R55" s="124"/>
      <c r="S55" s="123" t="s">
        <v>198</v>
      </c>
      <c r="T55" s="124"/>
      <c r="U55" s="125" t="s">
        <v>50</v>
      </c>
      <c r="V55" s="124"/>
    </row>
    <row r="56" spans="2:22" ht="69" hidden="1" customHeight="1" outlineLevel="5">
      <c r="B56" s="126"/>
      <c r="C56" s="126"/>
      <c r="D56" s="126"/>
      <c r="E56" s="126"/>
      <c r="F56" s="116" t="s">
        <v>199</v>
      </c>
      <c r="G56" s="127"/>
      <c r="H56" s="119"/>
      <c r="I56" s="119"/>
      <c r="J56" s="292" t="s">
        <v>235</v>
      </c>
      <c r="K56" s="294" t="s">
        <v>244</v>
      </c>
      <c r="L56" s="118" t="s">
        <v>219</v>
      </c>
      <c r="M56" s="287" t="s">
        <v>210</v>
      </c>
      <c r="N56" s="287"/>
      <c r="O56" s="123" t="s">
        <v>198</v>
      </c>
      <c r="P56" s="124"/>
      <c r="Q56" s="125" t="s">
        <v>50</v>
      </c>
      <c r="R56" s="124"/>
      <c r="S56" s="123" t="s">
        <v>198</v>
      </c>
      <c r="T56" s="124"/>
      <c r="U56" s="125" t="s">
        <v>50</v>
      </c>
      <c r="V56" s="124"/>
    </row>
    <row r="57" spans="2:22" ht="57.75" hidden="1" customHeight="1" outlineLevel="5">
      <c r="B57" s="126"/>
      <c r="C57" s="126"/>
      <c r="D57" s="126"/>
      <c r="E57" s="126"/>
      <c r="F57" s="116" t="s">
        <v>199</v>
      </c>
      <c r="G57" s="127"/>
      <c r="H57" s="119"/>
      <c r="I57" s="119"/>
      <c r="J57" s="293"/>
      <c r="K57" s="295"/>
      <c r="L57" s="128" t="s">
        <v>204</v>
      </c>
      <c r="M57" s="288" t="s">
        <v>211</v>
      </c>
      <c r="N57" s="288"/>
      <c r="O57" s="123" t="s">
        <v>198</v>
      </c>
      <c r="P57" s="124"/>
      <c r="Q57" s="125" t="s">
        <v>50</v>
      </c>
      <c r="R57" s="124"/>
      <c r="S57" s="123" t="s">
        <v>198</v>
      </c>
      <c r="T57" s="124"/>
      <c r="U57" s="125" t="s">
        <v>50</v>
      </c>
      <c r="V57" s="124"/>
    </row>
    <row r="58" spans="2:22" ht="61.5" hidden="1" customHeight="1" outlineLevel="5">
      <c r="B58" s="126"/>
      <c r="C58" s="126"/>
      <c r="D58" s="126"/>
      <c r="E58" s="126"/>
      <c r="F58" s="116" t="s">
        <v>199</v>
      </c>
      <c r="G58" s="127"/>
      <c r="H58" s="119"/>
      <c r="I58" s="119"/>
      <c r="J58" s="293"/>
      <c r="K58" s="295"/>
      <c r="L58" s="118" t="s">
        <v>206</v>
      </c>
      <c r="M58" s="287" t="s">
        <v>245</v>
      </c>
      <c r="N58" s="287"/>
      <c r="O58" s="123" t="s">
        <v>198</v>
      </c>
      <c r="P58" s="124"/>
      <c r="Q58" s="125" t="s">
        <v>50</v>
      </c>
      <c r="R58" s="124"/>
      <c r="S58" s="123" t="s">
        <v>198</v>
      </c>
      <c r="T58" s="124"/>
      <c r="U58" s="125" t="s">
        <v>50</v>
      </c>
      <c r="V58" s="124"/>
    </row>
    <row r="59" spans="2:22" s="134" customFormat="1" ht="82.5" hidden="1" customHeight="1" outlineLevel="4">
      <c r="B59" s="129" t="s">
        <v>246</v>
      </c>
      <c r="C59" s="129"/>
      <c r="D59" s="129"/>
      <c r="E59" s="129"/>
      <c r="F59" s="136" t="s">
        <v>231</v>
      </c>
      <c r="G59" s="131" t="s">
        <v>247</v>
      </c>
      <c r="H59" s="132" t="s">
        <v>233</v>
      </c>
      <c r="I59" s="119" t="s">
        <v>195</v>
      </c>
      <c r="J59" s="133"/>
      <c r="K59" s="131"/>
      <c r="L59" s="131"/>
      <c r="M59" s="299"/>
      <c r="N59" s="299"/>
      <c r="O59" s="123" t="s">
        <v>198</v>
      </c>
      <c r="P59" s="124"/>
      <c r="Q59" s="125" t="s">
        <v>50</v>
      </c>
      <c r="R59" s="124"/>
      <c r="S59" s="123" t="s">
        <v>198</v>
      </c>
      <c r="T59" s="124"/>
      <c r="U59" s="125" t="s">
        <v>50</v>
      </c>
      <c r="V59" s="124"/>
    </row>
    <row r="60" spans="2:22" ht="69" hidden="1" customHeight="1" outlineLevel="5">
      <c r="B60" s="126"/>
      <c r="C60" s="126"/>
      <c r="D60" s="126"/>
      <c r="E60" s="126"/>
      <c r="F60" s="116" t="s">
        <v>199</v>
      </c>
      <c r="G60" s="127"/>
      <c r="H60" s="119"/>
      <c r="I60" s="119"/>
      <c r="J60" s="292" t="s">
        <v>235</v>
      </c>
      <c r="K60" s="294" t="s">
        <v>248</v>
      </c>
      <c r="L60" s="118" t="s">
        <v>219</v>
      </c>
      <c r="M60" s="287" t="s">
        <v>210</v>
      </c>
      <c r="N60" s="287"/>
      <c r="O60" s="123" t="s">
        <v>198</v>
      </c>
      <c r="P60" s="124"/>
      <c r="Q60" s="125" t="s">
        <v>50</v>
      </c>
      <c r="R60" s="124"/>
      <c r="S60" s="123" t="s">
        <v>198</v>
      </c>
      <c r="T60" s="124"/>
      <c r="U60" s="125" t="s">
        <v>50</v>
      </c>
      <c r="V60" s="124"/>
    </row>
    <row r="61" spans="2:22" ht="57.75" hidden="1" customHeight="1" outlineLevel="5">
      <c r="B61" s="126"/>
      <c r="C61" s="126"/>
      <c r="D61" s="126"/>
      <c r="E61" s="126"/>
      <c r="F61" s="116" t="s">
        <v>199</v>
      </c>
      <c r="G61" s="127"/>
      <c r="H61" s="119"/>
      <c r="I61" s="119"/>
      <c r="J61" s="293"/>
      <c r="K61" s="295"/>
      <c r="L61" s="128" t="s">
        <v>204</v>
      </c>
      <c r="M61" s="288" t="s">
        <v>211</v>
      </c>
      <c r="N61" s="288"/>
      <c r="O61" s="123" t="s">
        <v>198</v>
      </c>
      <c r="P61" s="124"/>
      <c r="Q61" s="125" t="s">
        <v>50</v>
      </c>
      <c r="R61" s="124"/>
      <c r="S61" s="123" t="s">
        <v>198</v>
      </c>
      <c r="T61" s="124"/>
      <c r="U61" s="125" t="s">
        <v>50</v>
      </c>
      <c r="V61" s="124"/>
    </row>
    <row r="62" spans="2:22" ht="61.5" hidden="1" customHeight="1" outlineLevel="5">
      <c r="B62" s="126"/>
      <c r="C62" s="126"/>
      <c r="D62" s="126"/>
      <c r="E62" s="126"/>
      <c r="F62" s="116" t="s">
        <v>199</v>
      </c>
      <c r="G62" s="127"/>
      <c r="H62" s="119"/>
      <c r="I62" s="119"/>
      <c r="J62" s="293"/>
      <c r="K62" s="295"/>
      <c r="L62" s="118" t="s">
        <v>206</v>
      </c>
      <c r="M62" s="287" t="s">
        <v>207</v>
      </c>
      <c r="N62" s="287"/>
      <c r="O62" s="123" t="s">
        <v>198</v>
      </c>
      <c r="P62" s="124"/>
      <c r="Q62" s="125" t="s">
        <v>50</v>
      </c>
      <c r="R62" s="124"/>
      <c r="S62" s="123" t="s">
        <v>198</v>
      </c>
      <c r="T62" s="124"/>
      <c r="U62" s="125" t="s">
        <v>50</v>
      </c>
      <c r="V62" s="124"/>
    </row>
    <row r="63" spans="2:22" ht="69" hidden="1" customHeight="1" outlineLevel="4">
      <c r="B63" s="116" t="s">
        <v>249</v>
      </c>
      <c r="C63" s="116"/>
      <c r="D63" s="116"/>
      <c r="E63" s="116"/>
      <c r="F63" s="117" t="s">
        <v>231</v>
      </c>
      <c r="G63" s="118" t="s">
        <v>250</v>
      </c>
      <c r="H63" s="119" t="s">
        <v>194</v>
      </c>
      <c r="I63" s="119" t="s">
        <v>195</v>
      </c>
      <c r="J63" s="120" t="s">
        <v>251</v>
      </c>
      <c r="K63" s="135">
        <f>(2465/60)*3.6*(3.14/12.519)*(2*337/1000)</f>
        <v>25.002767313683204</v>
      </c>
      <c r="L63" s="122"/>
      <c r="M63" s="287"/>
      <c r="N63" s="287"/>
      <c r="O63" s="123" t="s">
        <v>198</v>
      </c>
      <c r="P63" s="124"/>
      <c r="Q63" s="125" t="s">
        <v>50</v>
      </c>
      <c r="R63" s="124"/>
      <c r="S63" s="123" t="s">
        <v>198</v>
      </c>
      <c r="T63" s="124"/>
      <c r="U63" s="125" t="s">
        <v>50</v>
      </c>
      <c r="V63" s="124"/>
    </row>
    <row r="64" spans="2:22" ht="69" hidden="1" customHeight="1" outlineLevel="5">
      <c r="B64" s="126"/>
      <c r="C64" s="126"/>
      <c r="D64" s="126"/>
      <c r="E64" s="126"/>
      <c r="F64" s="116" t="s">
        <v>199</v>
      </c>
      <c r="G64" s="127"/>
      <c r="H64" s="119"/>
      <c r="I64" s="119"/>
      <c r="J64" s="292" t="s">
        <v>252</v>
      </c>
      <c r="K64" s="294" t="s">
        <v>253</v>
      </c>
      <c r="L64" s="118" t="s">
        <v>219</v>
      </c>
      <c r="M64" s="287" t="s">
        <v>210</v>
      </c>
      <c r="N64" s="287"/>
      <c r="O64" s="123" t="s">
        <v>198</v>
      </c>
      <c r="P64" s="124"/>
      <c r="Q64" s="125" t="s">
        <v>50</v>
      </c>
      <c r="R64" s="124"/>
      <c r="S64" s="123" t="s">
        <v>198</v>
      </c>
      <c r="T64" s="124"/>
      <c r="U64" s="125" t="s">
        <v>50</v>
      </c>
      <c r="V64" s="124"/>
    </row>
    <row r="65" spans="2:22" ht="57.75" hidden="1" customHeight="1" outlineLevel="5">
      <c r="B65" s="126"/>
      <c r="C65" s="126"/>
      <c r="D65" s="126"/>
      <c r="E65" s="126"/>
      <c r="F65" s="116" t="s">
        <v>199</v>
      </c>
      <c r="G65" s="127"/>
      <c r="H65" s="119"/>
      <c r="I65" s="119"/>
      <c r="J65" s="293"/>
      <c r="K65" s="295"/>
      <c r="L65" s="128" t="s">
        <v>204</v>
      </c>
      <c r="M65" s="288" t="s">
        <v>254</v>
      </c>
      <c r="N65" s="288"/>
      <c r="O65" s="123" t="s">
        <v>198</v>
      </c>
      <c r="P65" s="124"/>
      <c r="Q65" s="125" t="s">
        <v>50</v>
      </c>
      <c r="R65" s="124"/>
      <c r="S65" s="123" t="s">
        <v>198</v>
      </c>
      <c r="T65" s="124"/>
      <c r="U65" s="125" t="s">
        <v>50</v>
      </c>
      <c r="V65" s="124"/>
    </row>
    <row r="66" spans="2:22" ht="61.5" hidden="1" customHeight="1" outlineLevel="5">
      <c r="B66" s="126"/>
      <c r="C66" s="126"/>
      <c r="D66" s="126"/>
      <c r="E66" s="126"/>
      <c r="F66" s="116" t="s">
        <v>199</v>
      </c>
      <c r="G66" s="127"/>
      <c r="H66" s="119"/>
      <c r="I66" s="119"/>
      <c r="J66" s="293"/>
      <c r="K66" s="295"/>
      <c r="L66" s="118" t="s">
        <v>206</v>
      </c>
      <c r="M66" s="287" t="s">
        <v>255</v>
      </c>
      <c r="N66" s="287"/>
      <c r="O66" s="123" t="s">
        <v>198</v>
      </c>
      <c r="P66" s="124"/>
      <c r="Q66" s="125" t="s">
        <v>50</v>
      </c>
      <c r="R66" s="124"/>
      <c r="S66" s="123" t="s">
        <v>198</v>
      </c>
      <c r="T66" s="124"/>
      <c r="U66" s="125" t="s">
        <v>50</v>
      </c>
      <c r="V66" s="124"/>
    </row>
    <row r="67" spans="2:22" ht="69" hidden="1" customHeight="1" outlineLevel="4">
      <c r="B67" s="116" t="s">
        <v>256</v>
      </c>
      <c r="C67" s="116"/>
      <c r="D67" s="116"/>
      <c r="E67" s="116"/>
      <c r="F67" s="117" t="s">
        <v>231</v>
      </c>
      <c r="G67" s="118" t="s">
        <v>257</v>
      </c>
      <c r="H67" s="119" t="s">
        <v>216</v>
      </c>
      <c r="I67" s="119" t="s">
        <v>195</v>
      </c>
      <c r="J67" s="120"/>
      <c r="K67" s="118"/>
      <c r="L67" s="122"/>
      <c r="M67" s="287"/>
      <c r="N67" s="287"/>
      <c r="O67" s="123" t="s">
        <v>198</v>
      </c>
      <c r="P67" s="124"/>
      <c r="Q67" s="125" t="s">
        <v>50</v>
      </c>
      <c r="R67" s="124"/>
      <c r="S67" s="123" t="s">
        <v>198</v>
      </c>
      <c r="T67" s="124"/>
      <c r="U67" s="125" t="s">
        <v>50</v>
      </c>
      <c r="V67" s="124"/>
    </row>
    <row r="68" spans="2:22" ht="69" hidden="1" customHeight="1" outlineLevel="5">
      <c r="B68" s="126"/>
      <c r="C68" s="126"/>
      <c r="D68" s="126"/>
      <c r="E68" s="126"/>
      <c r="F68" s="116" t="s">
        <v>199</v>
      </c>
      <c r="G68" s="127"/>
      <c r="H68" s="119"/>
      <c r="I68" s="119"/>
      <c r="J68" s="292" t="s">
        <v>258</v>
      </c>
      <c r="K68" s="294" t="s">
        <v>253</v>
      </c>
      <c r="L68" s="118" t="s">
        <v>219</v>
      </c>
      <c r="M68" s="287" t="s">
        <v>210</v>
      </c>
      <c r="N68" s="287"/>
      <c r="O68" s="123" t="s">
        <v>198</v>
      </c>
      <c r="P68" s="124"/>
      <c r="Q68" s="125" t="s">
        <v>50</v>
      </c>
      <c r="R68" s="124"/>
      <c r="S68" s="123" t="s">
        <v>198</v>
      </c>
      <c r="T68" s="124"/>
      <c r="U68" s="125" t="s">
        <v>50</v>
      </c>
      <c r="V68" s="124"/>
    </row>
    <row r="69" spans="2:22" ht="57.75" hidden="1" customHeight="1" outlineLevel="5">
      <c r="B69" s="126"/>
      <c r="C69" s="126"/>
      <c r="D69" s="126"/>
      <c r="E69" s="126"/>
      <c r="F69" s="116" t="s">
        <v>199</v>
      </c>
      <c r="G69" s="127"/>
      <c r="H69" s="119"/>
      <c r="I69" s="119"/>
      <c r="J69" s="293"/>
      <c r="K69" s="295"/>
      <c r="L69" s="128" t="s">
        <v>204</v>
      </c>
      <c r="M69" s="288" t="s">
        <v>211</v>
      </c>
      <c r="N69" s="288"/>
      <c r="O69" s="123" t="s">
        <v>198</v>
      </c>
      <c r="P69" s="124"/>
      <c r="Q69" s="125" t="s">
        <v>50</v>
      </c>
      <c r="R69" s="124"/>
      <c r="S69" s="123" t="s">
        <v>198</v>
      </c>
      <c r="T69" s="124"/>
      <c r="U69" s="125" t="s">
        <v>50</v>
      </c>
      <c r="V69" s="124"/>
    </row>
    <row r="70" spans="2:22" ht="61.5" hidden="1" customHeight="1" outlineLevel="5">
      <c r="B70" s="126"/>
      <c r="C70" s="126"/>
      <c r="D70" s="126"/>
      <c r="E70" s="126"/>
      <c r="F70" s="116" t="s">
        <v>199</v>
      </c>
      <c r="G70" s="127"/>
      <c r="H70" s="119"/>
      <c r="I70" s="119"/>
      <c r="J70" s="293"/>
      <c r="K70" s="295"/>
      <c r="L70" s="118" t="s">
        <v>206</v>
      </c>
      <c r="M70" s="287" t="s">
        <v>255</v>
      </c>
      <c r="N70" s="287"/>
      <c r="O70" s="123" t="s">
        <v>198</v>
      </c>
      <c r="P70" s="124"/>
      <c r="Q70" s="125" t="s">
        <v>50</v>
      </c>
      <c r="R70" s="124"/>
      <c r="S70" s="123" t="s">
        <v>198</v>
      </c>
      <c r="T70" s="124"/>
      <c r="U70" s="125" t="s">
        <v>50</v>
      </c>
      <c r="V70" s="124"/>
    </row>
    <row r="71" spans="2:22" ht="69" hidden="1" customHeight="1" outlineLevel="4">
      <c r="B71" s="116" t="s">
        <v>259</v>
      </c>
      <c r="C71" s="116"/>
      <c r="D71" s="116"/>
      <c r="E71" s="116"/>
      <c r="F71" s="117" t="s">
        <v>231</v>
      </c>
      <c r="G71" s="118" t="s">
        <v>260</v>
      </c>
      <c r="H71" s="119" t="s">
        <v>216</v>
      </c>
      <c r="I71" s="119" t="s">
        <v>195</v>
      </c>
      <c r="J71" s="120"/>
      <c r="K71" s="135">
        <f>(247/60)*3.6*(3.14/12.519)*(2*337/1000)</f>
        <v>2.5053482866043617</v>
      </c>
      <c r="L71" s="122"/>
      <c r="M71" s="287"/>
      <c r="N71" s="287"/>
      <c r="O71" s="123" t="s">
        <v>198</v>
      </c>
      <c r="P71" s="124"/>
      <c r="Q71" s="125" t="s">
        <v>50</v>
      </c>
      <c r="R71" s="124"/>
      <c r="S71" s="123" t="s">
        <v>198</v>
      </c>
      <c r="T71" s="124"/>
      <c r="U71" s="125" t="s">
        <v>50</v>
      </c>
      <c r="V71" s="124"/>
    </row>
    <row r="72" spans="2:22" ht="69" hidden="1" customHeight="1" outlineLevel="5">
      <c r="B72" s="126"/>
      <c r="C72" s="126"/>
      <c r="D72" s="126"/>
      <c r="E72" s="126"/>
      <c r="F72" s="116" t="s">
        <v>199</v>
      </c>
      <c r="G72" s="127"/>
      <c r="H72" s="119"/>
      <c r="I72" s="119"/>
      <c r="J72" s="292" t="s">
        <v>235</v>
      </c>
      <c r="K72" s="294" t="s">
        <v>261</v>
      </c>
      <c r="L72" s="118" t="s">
        <v>219</v>
      </c>
      <c r="M72" s="287" t="s">
        <v>210</v>
      </c>
      <c r="N72" s="287"/>
      <c r="O72" s="123" t="s">
        <v>198</v>
      </c>
      <c r="P72" s="124"/>
      <c r="Q72" s="125" t="s">
        <v>50</v>
      </c>
      <c r="R72" s="124"/>
      <c r="S72" s="123" t="s">
        <v>198</v>
      </c>
      <c r="T72" s="124"/>
      <c r="U72" s="125" t="s">
        <v>50</v>
      </c>
      <c r="V72" s="124"/>
    </row>
    <row r="73" spans="2:22" ht="57.75" hidden="1" customHeight="1" outlineLevel="5">
      <c r="B73" s="126"/>
      <c r="C73" s="126"/>
      <c r="D73" s="126"/>
      <c r="E73" s="126"/>
      <c r="F73" s="116" t="s">
        <v>199</v>
      </c>
      <c r="G73" s="127"/>
      <c r="H73" s="119"/>
      <c r="I73" s="119"/>
      <c r="J73" s="293"/>
      <c r="K73" s="295"/>
      <c r="L73" s="128" t="s">
        <v>204</v>
      </c>
      <c r="M73" s="288" t="s">
        <v>211</v>
      </c>
      <c r="N73" s="288"/>
      <c r="O73" s="123" t="s">
        <v>198</v>
      </c>
      <c r="P73" s="124"/>
      <c r="Q73" s="125" t="s">
        <v>50</v>
      </c>
      <c r="R73" s="124"/>
      <c r="S73" s="123" t="s">
        <v>198</v>
      </c>
      <c r="T73" s="124"/>
      <c r="U73" s="125" t="s">
        <v>50</v>
      </c>
      <c r="V73" s="124"/>
    </row>
    <row r="74" spans="2:22" ht="61.5" hidden="1" customHeight="1" outlineLevel="5">
      <c r="B74" s="126"/>
      <c r="C74" s="126"/>
      <c r="D74" s="126"/>
      <c r="E74" s="126"/>
      <c r="F74" s="116" t="s">
        <v>199</v>
      </c>
      <c r="G74" s="127"/>
      <c r="H74" s="119"/>
      <c r="I74" s="119"/>
      <c r="J74" s="293"/>
      <c r="K74" s="303"/>
      <c r="L74" s="118" t="s">
        <v>206</v>
      </c>
      <c r="M74" s="287" t="s">
        <v>255</v>
      </c>
      <c r="N74" s="287"/>
      <c r="O74" s="123" t="s">
        <v>198</v>
      </c>
      <c r="P74" s="124"/>
      <c r="Q74" s="125" t="s">
        <v>50</v>
      </c>
      <c r="R74" s="124"/>
      <c r="S74" s="123" t="s">
        <v>198</v>
      </c>
      <c r="T74" s="124"/>
      <c r="U74" s="125" t="s">
        <v>50</v>
      </c>
      <c r="V74" s="124"/>
    </row>
    <row r="75" spans="2:22" ht="69" hidden="1" customHeight="1" outlineLevel="4">
      <c r="B75" s="116" t="s">
        <v>262</v>
      </c>
      <c r="C75" s="116"/>
      <c r="D75" s="116"/>
      <c r="E75" s="116"/>
      <c r="F75" s="117" t="s">
        <v>231</v>
      </c>
      <c r="G75" s="118" t="s">
        <v>263</v>
      </c>
      <c r="H75" s="119" t="s">
        <v>216</v>
      </c>
      <c r="I75" s="119" t="s">
        <v>195</v>
      </c>
      <c r="J75" s="120"/>
      <c r="L75" s="122"/>
      <c r="M75" s="287"/>
      <c r="N75" s="287"/>
      <c r="O75" s="123" t="s">
        <v>198</v>
      </c>
      <c r="P75" s="124"/>
      <c r="Q75" s="125" t="s">
        <v>50</v>
      </c>
      <c r="R75" s="124"/>
      <c r="S75" s="123" t="s">
        <v>198</v>
      </c>
      <c r="T75" s="124"/>
      <c r="U75" s="125" t="s">
        <v>50</v>
      </c>
      <c r="V75" s="124"/>
    </row>
    <row r="76" spans="2:22" ht="69" hidden="1" customHeight="1" outlineLevel="5">
      <c r="B76" s="126"/>
      <c r="C76" s="126"/>
      <c r="D76" s="126"/>
      <c r="E76" s="126"/>
      <c r="F76" s="116" t="s">
        <v>199</v>
      </c>
      <c r="G76" s="127"/>
      <c r="H76" s="119"/>
      <c r="I76" s="119"/>
      <c r="J76" s="292" t="s">
        <v>235</v>
      </c>
      <c r="K76" s="294" t="s">
        <v>264</v>
      </c>
      <c r="L76" s="118" t="s">
        <v>219</v>
      </c>
      <c r="M76" s="287" t="s">
        <v>210</v>
      </c>
      <c r="N76" s="287"/>
      <c r="O76" s="123" t="s">
        <v>198</v>
      </c>
      <c r="P76" s="124"/>
      <c r="Q76" s="125" t="s">
        <v>50</v>
      </c>
      <c r="R76" s="124"/>
      <c r="S76" s="123" t="s">
        <v>198</v>
      </c>
      <c r="T76" s="124"/>
      <c r="U76" s="125" t="s">
        <v>50</v>
      </c>
      <c r="V76" s="124"/>
    </row>
    <row r="77" spans="2:22" ht="57.75" hidden="1" customHeight="1" outlineLevel="5">
      <c r="B77" s="126"/>
      <c r="C77" s="126"/>
      <c r="D77" s="126"/>
      <c r="E77" s="126"/>
      <c r="F77" s="116" t="s">
        <v>199</v>
      </c>
      <c r="G77" s="127"/>
      <c r="H77" s="119"/>
      <c r="I77" s="119"/>
      <c r="J77" s="293"/>
      <c r="K77" s="295"/>
      <c r="L77" s="128" t="s">
        <v>204</v>
      </c>
      <c r="M77" s="288" t="s">
        <v>211</v>
      </c>
      <c r="N77" s="288"/>
      <c r="O77" s="123" t="s">
        <v>198</v>
      </c>
      <c r="P77" s="124"/>
      <c r="Q77" s="125" t="s">
        <v>50</v>
      </c>
      <c r="R77" s="124"/>
      <c r="S77" s="123" t="s">
        <v>198</v>
      </c>
      <c r="T77" s="124"/>
      <c r="U77" s="125" t="s">
        <v>50</v>
      </c>
      <c r="V77" s="124"/>
    </row>
    <row r="78" spans="2:22" ht="61.5" hidden="1" customHeight="1" outlineLevel="5">
      <c r="B78" s="126"/>
      <c r="C78" s="126"/>
      <c r="D78" s="126"/>
      <c r="E78" s="126"/>
      <c r="F78" s="116" t="s">
        <v>199</v>
      </c>
      <c r="G78" s="127"/>
      <c r="H78" s="119"/>
      <c r="I78" s="119"/>
      <c r="J78" s="293"/>
      <c r="K78" s="295"/>
      <c r="L78" s="118" t="s">
        <v>206</v>
      </c>
      <c r="M78" s="287" t="s">
        <v>212</v>
      </c>
      <c r="N78" s="287"/>
      <c r="O78" s="123" t="s">
        <v>198</v>
      </c>
      <c r="P78" s="124"/>
      <c r="Q78" s="125" t="s">
        <v>50</v>
      </c>
      <c r="R78" s="124"/>
      <c r="S78" s="123" t="s">
        <v>198</v>
      </c>
      <c r="T78" s="124"/>
      <c r="U78" s="125" t="s">
        <v>50</v>
      </c>
      <c r="V78" s="124"/>
    </row>
    <row r="79" spans="2:22" s="134" customFormat="1" ht="82.5" hidden="1" customHeight="1" outlineLevel="4">
      <c r="B79" s="129" t="s">
        <v>265</v>
      </c>
      <c r="C79" s="129"/>
      <c r="D79" s="129"/>
      <c r="E79" s="129"/>
      <c r="F79" s="136" t="s">
        <v>231</v>
      </c>
      <c r="G79" s="131" t="s">
        <v>266</v>
      </c>
      <c r="H79" s="119" t="s">
        <v>216</v>
      </c>
      <c r="I79" s="119" t="s">
        <v>195</v>
      </c>
      <c r="J79" s="133" t="s">
        <v>267</v>
      </c>
      <c r="K79" s="131"/>
      <c r="L79" s="131"/>
      <c r="M79" s="299"/>
      <c r="N79" s="299"/>
      <c r="O79" s="123" t="s">
        <v>198</v>
      </c>
      <c r="P79" s="124"/>
      <c r="Q79" s="125" t="s">
        <v>50</v>
      </c>
      <c r="R79" s="124"/>
      <c r="S79" s="123" t="s">
        <v>198</v>
      </c>
      <c r="T79" s="124"/>
      <c r="U79" s="125" t="s">
        <v>50</v>
      </c>
      <c r="V79" s="124"/>
    </row>
    <row r="80" spans="2:22" ht="69" hidden="1" customHeight="1" outlineLevel="5">
      <c r="B80" s="126"/>
      <c r="C80" s="126"/>
      <c r="D80" s="126"/>
      <c r="E80" s="126"/>
      <c r="F80" s="116" t="s">
        <v>199</v>
      </c>
      <c r="G80" s="127"/>
      <c r="H80" s="119"/>
      <c r="I80" s="119"/>
      <c r="J80" s="292" t="s">
        <v>235</v>
      </c>
      <c r="K80" s="294" t="s">
        <v>268</v>
      </c>
      <c r="L80" s="118" t="s">
        <v>219</v>
      </c>
      <c r="M80" s="287" t="s">
        <v>220</v>
      </c>
      <c r="N80" s="287"/>
      <c r="O80" s="123" t="s">
        <v>198</v>
      </c>
      <c r="P80" s="124"/>
      <c r="Q80" s="125" t="s">
        <v>50</v>
      </c>
      <c r="R80" s="124"/>
      <c r="S80" s="123" t="s">
        <v>198</v>
      </c>
      <c r="T80" s="124"/>
      <c r="U80" s="125" t="s">
        <v>50</v>
      </c>
      <c r="V80" s="124"/>
    </row>
    <row r="81" spans="2:22" ht="57.75" hidden="1" customHeight="1" outlineLevel="5">
      <c r="B81" s="126"/>
      <c r="C81" s="126"/>
      <c r="D81" s="126"/>
      <c r="E81" s="126"/>
      <c r="F81" s="116" t="s">
        <v>199</v>
      </c>
      <c r="G81" s="127"/>
      <c r="H81" s="119"/>
      <c r="I81" s="119"/>
      <c r="J81" s="293"/>
      <c r="K81" s="295"/>
      <c r="L81" s="128" t="s">
        <v>204</v>
      </c>
      <c r="M81" s="288" t="s">
        <v>211</v>
      </c>
      <c r="N81" s="288"/>
      <c r="O81" s="123" t="s">
        <v>198</v>
      </c>
      <c r="P81" s="124"/>
      <c r="Q81" s="125" t="s">
        <v>50</v>
      </c>
      <c r="R81" s="124"/>
      <c r="S81" s="123" t="s">
        <v>198</v>
      </c>
      <c r="T81" s="124"/>
      <c r="U81" s="125" t="s">
        <v>50</v>
      </c>
      <c r="V81" s="124"/>
    </row>
    <row r="82" spans="2:22" ht="57.75" hidden="1" customHeight="1" outlineLevel="5">
      <c r="B82" s="126"/>
      <c r="C82" s="126"/>
      <c r="D82" s="126"/>
      <c r="E82" s="126"/>
      <c r="F82" s="116" t="s">
        <v>199</v>
      </c>
      <c r="G82" s="127"/>
      <c r="H82" s="119"/>
      <c r="I82" s="119"/>
      <c r="J82" s="293"/>
      <c r="K82" s="295"/>
      <c r="L82" s="118" t="s">
        <v>206</v>
      </c>
      <c r="M82" s="287" t="s">
        <v>207</v>
      </c>
      <c r="N82" s="287"/>
      <c r="O82" s="123" t="s">
        <v>198</v>
      </c>
      <c r="P82" s="124"/>
      <c r="Q82" s="125" t="s">
        <v>50</v>
      </c>
      <c r="R82" s="124"/>
      <c r="S82" s="123" t="s">
        <v>198</v>
      </c>
      <c r="T82" s="124"/>
      <c r="U82" s="125" t="s">
        <v>50</v>
      </c>
      <c r="V82" s="124"/>
    </row>
    <row r="83" spans="2:22" ht="61.5" hidden="1" customHeight="1" outlineLevel="5">
      <c r="B83" s="126"/>
      <c r="C83" s="126"/>
      <c r="D83" s="126"/>
      <c r="E83" s="126"/>
      <c r="F83" s="116" t="s">
        <v>199</v>
      </c>
      <c r="G83" s="127"/>
      <c r="H83" s="119"/>
      <c r="I83" s="119"/>
      <c r="J83" s="293"/>
      <c r="K83" s="295"/>
      <c r="L83" s="118" t="s">
        <v>269</v>
      </c>
      <c r="M83" s="287" t="s">
        <v>270</v>
      </c>
      <c r="N83" s="287"/>
      <c r="O83" s="123" t="s">
        <v>198</v>
      </c>
      <c r="P83" s="124"/>
      <c r="Q83" s="125" t="s">
        <v>50</v>
      </c>
      <c r="R83" s="124"/>
      <c r="S83" s="123" t="s">
        <v>198</v>
      </c>
      <c r="T83" s="124"/>
      <c r="U83" s="125" t="s">
        <v>50</v>
      </c>
      <c r="V83" s="124"/>
    </row>
    <row r="84" spans="2:22" s="134" customFormat="1" ht="82.5" hidden="1" customHeight="1" outlineLevel="4">
      <c r="B84" s="129" t="s">
        <v>271</v>
      </c>
      <c r="C84" s="129"/>
      <c r="D84" s="129"/>
      <c r="E84" s="129"/>
      <c r="F84" s="136" t="s">
        <v>231</v>
      </c>
      <c r="G84" s="131" t="s">
        <v>272</v>
      </c>
      <c r="H84" s="119" t="s">
        <v>233</v>
      </c>
      <c r="I84" s="119" t="s">
        <v>195</v>
      </c>
      <c r="J84" s="133"/>
      <c r="K84" s="131"/>
      <c r="L84" s="131"/>
      <c r="M84" s="299"/>
      <c r="N84" s="299"/>
      <c r="O84" s="123" t="s">
        <v>198</v>
      </c>
      <c r="P84" s="124"/>
      <c r="Q84" s="125" t="s">
        <v>50</v>
      </c>
      <c r="R84" s="124"/>
      <c r="S84" s="123" t="s">
        <v>198</v>
      </c>
      <c r="T84" s="124"/>
      <c r="U84" s="125" t="s">
        <v>50</v>
      </c>
      <c r="V84" s="124"/>
    </row>
    <row r="85" spans="2:22" ht="69" hidden="1" customHeight="1" outlineLevel="5">
      <c r="B85" s="126"/>
      <c r="C85" s="126"/>
      <c r="D85" s="126"/>
      <c r="E85" s="126"/>
      <c r="F85" s="116" t="s">
        <v>199</v>
      </c>
      <c r="G85" s="127"/>
      <c r="H85" s="119"/>
      <c r="I85" s="119"/>
      <c r="J85" s="292" t="s">
        <v>235</v>
      </c>
      <c r="K85" s="294" t="s">
        <v>273</v>
      </c>
      <c r="L85" s="118" t="s">
        <v>219</v>
      </c>
      <c r="M85" s="287" t="s">
        <v>220</v>
      </c>
      <c r="N85" s="287"/>
      <c r="O85" s="123" t="s">
        <v>198</v>
      </c>
      <c r="P85" s="124"/>
      <c r="Q85" s="125" t="s">
        <v>50</v>
      </c>
      <c r="R85" s="124"/>
      <c r="S85" s="123" t="s">
        <v>198</v>
      </c>
      <c r="T85" s="124"/>
      <c r="U85" s="125" t="s">
        <v>50</v>
      </c>
      <c r="V85" s="124"/>
    </row>
    <row r="86" spans="2:22" ht="57.75" hidden="1" customHeight="1" outlineLevel="5">
      <c r="B86" s="126"/>
      <c r="C86" s="126"/>
      <c r="D86" s="126"/>
      <c r="E86" s="126"/>
      <c r="F86" s="116" t="s">
        <v>199</v>
      </c>
      <c r="G86" s="127"/>
      <c r="H86" s="119"/>
      <c r="I86" s="119"/>
      <c r="J86" s="293"/>
      <c r="K86" s="295"/>
      <c r="L86" s="128" t="s">
        <v>204</v>
      </c>
      <c r="M86" s="288" t="s">
        <v>211</v>
      </c>
      <c r="N86" s="288"/>
      <c r="O86" s="123" t="s">
        <v>198</v>
      </c>
      <c r="P86" s="124"/>
      <c r="Q86" s="125" t="s">
        <v>50</v>
      </c>
      <c r="R86" s="124"/>
      <c r="S86" s="123" t="s">
        <v>198</v>
      </c>
      <c r="T86" s="124"/>
      <c r="U86" s="125" t="s">
        <v>50</v>
      </c>
      <c r="V86" s="124"/>
    </row>
    <row r="87" spans="2:22" ht="57.75" hidden="1" customHeight="1" outlineLevel="5">
      <c r="B87" s="126"/>
      <c r="C87" s="126"/>
      <c r="D87" s="126"/>
      <c r="E87" s="126"/>
      <c r="F87" s="116" t="s">
        <v>199</v>
      </c>
      <c r="G87" s="127"/>
      <c r="H87" s="119"/>
      <c r="I87" s="119"/>
      <c r="J87" s="293"/>
      <c r="K87" s="295"/>
      <c r="L87" s="118" t="s">
        <v>206</v>
      </c>
      <c r="M87" s="287" t="s">
        <v>207</v>
      </c>
      <c r="N87" s="287"/>
      <c r="O87" s="123" t="s">
        <v>198</v>
      </c>
      <c r="P87" s="124"/>
      <c r="Q87" s="125" t="s">
        <v>50</v>
      </c>
      <c r="R87" s="124"/>
      <c r="S87" s="123" t="s">
        <v>198</v>
      </c>
      <c r="T87" s="124"/>
      <c r="U87" s="125" t="s">
        <v>50</v>
      </c>
      <c r="V87" s="124"/>
    </row>
    <row r="88" spans="2:22" ht="61.5" hidden="1" customHeight="1" outlineLevel="5">
      <c r="B88" s="126"/>
      <c r="C88" s="126"/>
      <c r="D88" s="126"/>
      <c r="E88" s="126"/>
      <c r="F88" s="116" t="s">
        <v>199</v>
      </c>
      <c r="G88" s="127"/>
      <c r="H88" s="119"/>
      <c r="I88" s="119"/>
      <c r="J88" s="293"/>
      <c r="K88" s="295"/>
      <c r="L88" s="118" t="s">
        <v>269</v>
      </c>
      <c r="M88" s="287" t="s">
        <v>270</v>
      </c>
      <c r="N88" s="287"/>
      <c r="O88" s="123" t="s">
        <v>198</v>
      </c>
      <c r="P88" s="124"/>
      <c r="Q88" s="125" t="s">
        <v>50</v>
      </c>
      <c r="R88" s="124"/>
      <c r="S88" s="123" t="s">
        <v>198</v>
      </c>
      <c r="T88" s="124"/>
      <c r="U88" s="125" t="s">
        <v>50</v>
      </c>
      <c r="V88" s="124"/>
    </row>
    <row r="89" spans="2:22" s="134" customFormat="1" ht="82.5" hidden="1" customHeight="1" outlineLevel="4">
      <c r="B89" s="129" t="s">
        <v>274</v>
      </c>
      <c r="C89" s="129"/>
      <c r="D89" s="129"/>
      <c r="E89" s="129"/>
      <c r="F89" s="130" t="s">
        <v>214</v>
      </c>
      <c r="G89" s="131" t="s">
        <v>275</v>
      </c>
      <c r="H89" s="119" t="s">
        <v>233</v>
      </c>
      <c r="I89" s="119" t="s">
        <v>195</v>
      </c>
      <c r="J89" s="133"/>
      <c r="K89" s="131"/>
      <c r="L89" s="131"/>
      <c r="M89" s="299"/>
      <c r="N89" s="299"/>
      <c r="O89" s="123" t="s">
        <v>198</v>
      </c>
      <c r="P89" s="124"/>
      <c r="Q89" s="125" t="s">
        <v>50</v>
      </c>
      <c r="R89" s="124"/>
      <c r="S89" s="123" t="s">
        <v>198</v>
      </c>
      <c r="T89" s="124"/>
      <c r="U89" s="125" t="s">
        <v>50</v>
      </c>
      <c r="V89" s="124"/>
    </row>
    <row r="90" spans="2:22" ht="69" hidden="1" customHeight="1" outlineLevel="5">
      <c r="B90" s="126"/>
      <c r="C90" s="126"/>
      <c r="D90" s="126"/>
      <c r="E90" s="126"/>
      <c r="F90" s="116" t="s">
        <v>199</v>
      </c>
      <c r="G90" s="127"/>
      <c r="H90" s="119"/>
      <c r="I90" s="119"/>
      <c r="J90" s="304" t="s">
        <v>276</v>
      </c>
      <c r="K90" s="306" t="s">
        <v>277</v>
      </c>
      <c r="L90" s="118" t="s">
        <v>219</v>
      </c>
      <c r="M90" s="287" t="s">
        <v>278</v>
      </c>
      <c r="N90" s="287"/>
      <c r="O90" s="123" t="s">
        <v>198</v>
      </c>
      <c r="P90" s="124"/>
      <c r="Q90" s="125" t="s">
        <v>50</v>
      </c>
      <c r="R90" s="124"/>
      <c r="S90" s="123" t="s">
        <v>198</v>
      </c>
      <c r="T90" s="124"/>
      <c r="U90" s="125" t="s">
        <v>50</v>
      </c>
      <c r="V90" s="124"/>
    </row>
    <row r="91" spans="2:22" ht="69" hidden="1" customHeight="1" outlineLevel="5">
      <c r="B91" s="126"/>
      <c r="C91" s="126"/>
      <c r="D91" s="126"/>
      <c r="E91" s="126"/>
      <c r="F91" s="116" t="s">
        <v>199</v>
      </c>
      <c r="G91" s="127"/>
      <c r="H91" s="119"/>
      <c r="I91" s="119"/>
      <c r="J91" s="305"/>
      <c r="K91" s="306"/>
      <c r="L91" s="118" t="s">
        <v>219</v>
      </c>
      <c r="M91" s="287" t="s">
        <v>279</v>
      </c>
      <c r="N91" s="287"/>
      <c r="O91" s="123" t="s">
        <v>198</v>
      </c>
      <c r="P91" s="124"/>
      <c r="Q91" s="125" t="s">
        <v>50</v>
      </c>
      <c r="R91" s="124"/>
      <c r="S91" s="123" t="s">
        <v>198</v>
      </c>
      <c r="T91" s="124"/>
      <c r="U91" s="125" t="s">
        <v>50</v>
      </c>
      <c r="V91" s="124"/>
    </row>
    <row r="92" spans="2:22" s="134" customFormat="1" ht="82.5" hidden="1" customHeight="1" outlineLevel="4">
      <c r="B92" s="129" t="s">
        <v>280</v>
      </c>
      <c r="C92" s="129"/>
      <c r="D92" s="129"/>
      <c r="E92" s="129"/>
      <c r="F92" s="130" t="s">
        <v>281</v>
      </c>
      <c r="G92" s="131" t="s">
        <v>282</v>
      </c>
      <c r="H92" s="119" t="s">
        <v>283</v>
      </c>
      <c r="I92" s="119" t="s">
        <v>195</v>
      </c>
      <c r="J92" s="133"/>
      <c r="K92" s="131"/>
      <c r="L92" s="131"/>
      <c r="M92" s="299"/>
      <c r="N92" s="299"/>
      <c r="O92" s="123" t="s">
        <v>198</v>
      </c>
      <c r="P92" s="124"/>
      <c r="Q92" s="125" t="s">
        <v>50</v>
      </c>
      <c r="R92" s="124"/>
      <c r="S92" s="123" t="s">
        <v>198</v>
      </c>
      <c r="T92" s="124"/>
      <c r="U92" s="125" t="s">
        <v>50</v>
      </c>
      <c r="V92" s="124"/>
    </row>
    <row r="93" spans="2:22" ht="69" hidden="1" customHeight="1" outlineLevel="5">
      <c r="B93" s="126"/>
      <c r="C93" s="126"/>
      <c r="D93" s="126"/>
      <c r="E93" s="126"/>
      <c r="F93" s="116" t="s">
        <v>199</v>
      </c>
      <c r="G93" s="127"/>
      <c r="H93" s="119"/>
      <c r="I93" s="119"/>
      <c r="J93" s="304" t="s">
        <v>276</v>
      </c>
      <c r="K93" s="118" t="s">
        <v>284</v>
      </c>
      <c r="L93" s="118" t="s">
        <v>219</v>
      </c>
      <c r="M93" s="287" t="s">
        <v>278</v>
      </c>
      <c r="N93" s="287"/>
      <c r="O93" s="123" t="s">
        <v>198</v>
      </c>
      <c r="P93" s="124"/>
      <c r="Q93" s="125" t="s">
        <v>50</v>
      </c>
      <c r="R93" s="124"/>
      <c r="S93" s="123" t="s">
        <v>198</v>
      </c>
      <c r="T93" s="124"/>
      <c r="U93" s="125" t="s">
        <v>50</v>
      </c>
      <c r="V93" s="124"/>
    </row>
    <row r="94" spans="2:22" ht="69" hidden="1" customHeight="1" outlineLevel="5">
      <c r="B94" s="126"/>
      <c r="C94" s="126"/>
      <c r="D94" s="126"/>
      <c r="E94" s="126"/>
      <c r="F94" s="116" t="s">
        <v>199</v>
      </c>
      <c r="G94" s="127"/>
      <c r="H94" s="119"/>
      <c r="I94" s="119"/>
      <c r="J94" s="305"/>
      <c r="K94" s="118" t="s">
        <v>285</v>
      </c>
      <c r="L94" s="118" t="s">
        <v>219</v>
      </c>
      <c r="M94" s="287" t="s">
        <v>286</v>
      </c>
      <c r="N94" s="287"/>
      <c r="O94" s="123" t="s">
        <v>198</v>
      </c>
      <c r="P94" s="124"/>
      <c r="Q94" s="125" t="s">
        <v>50</v>
      </c>
      <c r="R94" s="124"/>
      <c r="S94" s="123" t="s">
        <v>198</v>
      </c>
      <c r="T94" s="124"/>
      <c r="U94" s="125" t="s">
        <v>50</v>
      </c>
      <c r="V94" s="124"/>
    </row>
    <row r="95" spans="2:22" s="134" customFormat="1" ht="82.5" hidden="1" customHeight="1" outlineLevel="4">
      <c r="B95" s="129" t="s">
        <v>287</v>
      </c>
      <c r="C95" s="129"/>
      <c r="D95" s="129"/>
      <c r="E95" s="129"/>
      <c r="F95" s="136" t="s">
        <v>231</v>
      </c>
      <c r="G95" s="131" t="s">
        <v>288</v>
      </c>
      <c r="H95" s="119" t="s">
        <v>216</v>
      </c>
      <c r="I95" s="119" t="s">
        <v>195</v>
      </c>
      <c r="J95" s="133"/>
      <c r="K95" s="131"/>
      <c r="L95" s="131"/>
      <c r="M95" s="299"/>
      <c r="N95" s="299"/>
      <c r="O95" s="123" t="s">
        <v>198</v>
      </c>
      <c r="P95" s="124"/>
      <c r="Q95" s="125" t="s">
        <v>50</v>
      </c>
      <c r="R95" s="124"/>
      <c r="S95" s="123" t="s">
        <v>198</v>
      </c>
      <c r="T95" s="124"/>
      <c r="U95" s="125" t="s">
        <v>50</v>
      </c>
      <c r="V95" s="124"/>
    </row>
    <row r="96" spans="2:22" ht="69" hidden="1" customHeight="1" outlineLevel="5">
      <c r="B96" s="126"/>
      <c r="C96" s="126"/>
      <c r="D96" s="126"/>
      <c r="E96" s="126"/>
      <c r="F96" s="116" t="s">
        <v>199</v>
      </c>
      <c r="G96" s="127"/>
      <c r="H96" s="119"/>
      <c r="I96" s="119"/>
      <c r="J96" s="292" t="s">
        <v>235</v>
      </c>
      <c r="K96" s="294" t="s">
        <v>289</v>
      </c>
      <c r="L96" s="118" t="s">
        <v>219</v>
      </c>
      <c r="M96" s="287" t="s">
        <v>220</v>
      </c>
      <c r="N96" s="287"/>
      <c r="O96" s="123" t="s">
        <v>198</v>
      </c>
      <c r="P96" s="124"/>
      <c r="Q96" s="125" t="s">
        <v>50</v>
      </c>
      <c r="R96" s="124"/>
      <c r="S96" s="123" t="s">
        <v>198</v>
      </c>
      <c r="T96" s="124"/>
      <c r="U96" s="125" t="s">
        <v>50</v>
      </c>
      <c r="V96" s="124"/>
    </row>
    <row r="97" spans="2:22" ht="57.75" hidden="1" customHeight="1" outlineLevel="5">
      <c r="B97" s="126"/>
      <c r="C97" s="126"/>
      <c r="D97" s="126"/>
      <c r="E97" s="126"/>
      <c r="F97" s="116" t="s">
        <v>199</v>
      </c>
      <c r="G97" s="127"/>
      <c r="H97" s="119"/>
      <c r="I97" s="119"/>
      <c r="J97" s="293"/>
      <c r="K97" s="295"/>
      <c r="L97" s="128" t="s">
        <v>290</v>
      </c>
      <c r="M97" s="288" t="s">
        <v>211</v>
      </c>
      <c r="N97" s="288"/>
      <c r="O97" s="123" t="s">
        <v>198</v>
      </c>
      <c r="P97" s="124"/>
      <c r="Q97" s="125" t="s">
        <v>50</v>
      </c>
      <c r="R97" s="124"/>
      <c r="S97" s="123" t="s">
        <v>198</v>
      </c>
      <c r="T97" s="124"/>
      <c r="U97" s="125" t="s">
        <v>50</v>
      </c>
      <c r="V97" s="124"/>
    </row>
    <row r="98" spans="2:22" ht="57.75" hidden="1" customHeight="1" outlineLevel="5">
      <c r="B98" s="126"/>
      <c r="C98" s="126"/>
      <c r="D98" s="126"/>
      <c r="E98" s="126"/>
      <c r="F98" s="116" t="s">
        <v>199</v>
      </c>
      <c r="G98" s="127"/>
      <c r="H98" s="119"/>
      <c r="I98" s="119"/>
      <c r="J98" s="293"/>
      <c r="K98" s="295"/>
      <c r="L98" s="118" t="s">
        <v>206</v>
      </c>
      <c r="M98" s="287" t="s">
        <v>207</v>
      </c>
      <c r="N98" s="287"/>
      <c r="O98" s="123" t="s">
        <v>198</v>
      </c>
      <c r="P98" s="124"/>
      <c r="Q98" s="125" t="s">
        <v>50</v>
      </c>
      <c r="R98" s="124"/>
      <c r="S98" s="123" t="s">
        <v>198</v>
      </c>
      <c r="T98" s="124"/>
      <c r="U98" s="125" t="s">
        <v>50</v>
      </c>
      <c r="V98" s="124"/>
    </row>
    <row r="99" spans="2:22" ht="61.5" hidden="1" customHeight="1" outlineLevel="5">
      <c r="B99" s="126"/>
      <c r="C99" s="126"/>
      <c r="D99" s="126"/>
      <c r="E99" s="126"/>
      <c r="F99" s="116" t="s">
        <v>199</v>
      </c>
      <c r="G99" s="127"/>
      <c r="H99" s="119"/>
      <c r="I99" s="119"/>
      <c r="J99" s="293"/>
      <c r="K99" s="295"/>
      <c r="L99" s="118" t="s">
        <v>269</v>
      </c>
      <c r="M99" s="287" t="s">
        <v>291</v>
      </c>
      <c r="N99" s="287"/>
      <c r="O99" s="123" t="s">
        <v>198</v>
      </c>
      <c r="P99" s="124"/>
      <c r="Q99" s="125" t="s">
        <v>50</v>
      </c>
      <c r="R99" s="124"/>
      <c r="S99" s="123" t="s">
        <v>198</v>
      </c>
      <c r="T99" s="124"/>
      <c r="U99" s="125" t="s">
        <v>50</v>
      </c>
      <c r="V99" s="124"/>
    </row>
    <row r="100" spans="2:22" s="134" customFormat="1" ht="82.5" hidden="1" customHeight="1" outlineLevel="4">
      <c r="B100" s="129" t="s">
        <v>292</v>
      </c>
      <c r="C100" s="129"/>
      <c r="D100" s="129"/>
      <c r="E100" s="129"/>
      <c r="F100" s="136" t="s">
        <v>231</v>
      </c>
      <c r="G100" s="131" t="s">
        <v>293</v>
      </c>
      <c r="H100" s="119" t="s">
        <v>216</v>
      </c>
      <c r="I100" s="119" t="s">
        <v>195</v>
      </c>
      <c r="J100" s="133"/>
      <c r="K100" s="131"/>
      <c r="L100" s="131"/>
      <c r="M100" s="299"/>
      <c r="N100" s="299"/>
      <c r="O100" s="123" t="s">
        <v>198</v>
      </c>
      <c r="P100" s="124"/>
      <c r="Q100" s="125" t="s">
        <v>50</v>
      </c>
      <c r="R100" s="124"/>
      <c r="S100" s="123" t="s">
        <v>198</v>
      </c>
      <c r="T100" s="124"/>
      <c r="U100" s="125" t="s">
        <v>50</v>
      </c>
      <c r="V100" s="124"/>
    </row>
    <row r="101" spans="2:22" ht="69" hidden="1" customHeight="1" outlineLevel="5">
      <c r="B101" s="126"/>
      <c r="C101" s="126"/>
      <c r="D101" s="126"/>
      <c r="E101" s="126"/>
      <c r="F101" s="116" t="s">
        <v>199</v>
      </c>
      <c r="G101" s="127"/>
      <c r="H101" s="119"/>
      <c r="I101" s="119"/>
      <c r="J101" s="292" t="s">
        <v>235</v>
      </c>
      <c r="K101" s="294" t="s">
        <v>294</v>
      </c>
      <c r="L101" s="118" t="s">
        <v>219</v>
      </c>
      <c r="M101" s="287" t="s">
        <v>220</v>
      </c>
      <c r="N101" s="287"/>
      <c r="O101" s="123" t="s">
        <v>198</v>
      </c>
      <c r="P101" s="124"/>
      <c r="Q101" s="125" t="s">
        <v>50</v>
      </c>
      <c r="R101" s="124"/>
      <c r="S101" s="123" t="s">
        <v>198</v>
      </c>
      <c r="T101" s="124"/>
      <c r="U101" s="125" t="s">
        <v>50</v>
      </c>
      <c r="V101" s="124"/>
    </row>
    <row r="102" spans="2:22" ht="57.75" hidden="1" customHeight="1" outlineLevel="5">
      <c r="B102" s="126"/>
      <c r="C102" s="126"/>
      <c r="D102" s="126"/>
      <c r="E102" s="126"/>
      <c r="F102" s="116" t="s">
        <v>199</v>
      </c>
      <c r="G102" s="127"/>
      <c r="H102" s="119"/>
      <c r="I102" s="119"/>
      <c r="J102" s="293"/>
      <c r="K102" s="295"/>
      <c r="L102" s="128" t="s">
        <v>204</v>
      </c>
      <c r="M102" s="288" t="s">
        <v>211</v>
      </c>
      <c r="N102" s="288"/>
      <c r="O102" s="123" t="s">
        <v>198</v>
      </c>
      <c r="P102" s="124"/>
      <c r="Q102" s="125" t="s">
        <v>50</v>
      </c>
      <c r="R102" s="124"/>
      <c r="S102" s="123" t="s">
        <v>198</v>
      </c>
      <c r="T102" s="124"/>
      <c r="U102" s="125" t="s">
        <v>50</v>
      </c>
      <c r="V102" s="124"/>
    </row>
    <row r="103" spans="2:22" ht="57.75" hidden="1" customHeight="1" outlineLevel="5">
      <c r="B103" s="126"/>
      <c r="C103" s="126"/>
      <c r="D103" s="126"/>
      <c r="E103" s="126"/>
      <c r="F103" s="116" t="s">
        <v>199</v>
      </c>
      <c r="G103" s="127"/>
      <c r="H103" s="119"/>
      <c r="I103" s="119"/>
      <c r="J103" s="293"/>
      <c r="K103" s="295"/>
      <c r="L103" s="118" t="s">
        <v>206</v>
      </c>
      <c r="M103" s="287" t="s">
        <v>207</v>
      </c>
      <c r="N103" s="287"/>
      <c r="O103" s="123" t="s">
        <v>198</v>
      </c>
      <c r="P103" s="124"/>
      <c r="Q103" s="125" t="s">
        <v>50</v>
      </c>
      <c r="R103" s="124"/>
      <c r="S103" s="123" t="s">
        <v>198</v>
      </c>
      <c r="T103" s="124"/>
      <c r="U103" s="125" t="s">
        <v>50</v>
      </c>
      <c r="V103" s="124"/>
    </row>
    <row r="104" spans="2:22" ht="61.5" hidden="1" customHeight="1" outlineLevel="5">
      <c r="B104" s="126"/>
      <c r="C104" s="126"/>
      <c r="D104" s="126"/>
      <c r="E104" s="126"/>
      <c r="F104" s="116" t="s">
        <v>199</v>
      </c>
      <c r="G104" s="127"/>
      <c r="H104" s="119"/>
      <c r="I104" s="119"/>
      <c r="J104" s="293"/>
      <c r="K104" s="295"/>
      <c r="L104" s="118" t="s">
        <v>269</v>
      </c>
      <c r="M104" s="287" t="s">
        <v>270</v>
      </c>
      <c r="N104" s="287"/>
      <c r="O104" s="123" t="s">
        <v>198</v>
      </c>
      <c r="P104" s="124"/>
      <c r="Q104" s="125" t="s">
        <v>50</v>
      </c>
      <c r="R104" s="124"/>
      <c r="S104" s="123" t="s">
        <v>198</v>
      </c>
      <c r="T104" s="124"/>
      <c r="U104" s="125" t="s">
        <v>50</v>
      </c>
      <c r="V104" s="124"/>
    </row>
    <row r="105" spans="2:22" s="134" customFormat="1" ht="82.5" hidden="1" customHeight="1" outlineLevel="4">
      <c r="B105" s="129" t="s">
        <v>295</v>
      </c>
      <c r="C105" s="129"/>
      <c r="D105" s="129"/>
      <c r="E105" s="129"/>
      <c r="F105" s="136" t="s">
        <v>231</v>
      </c>
      <c r="G105" s="131" t="s">
        <v>296</v>
      </c>
      <c r="H105" s="119" t="s">
        <v>216</v>
      </c>
      <c r="I105" s="119" t="s">
        <v>195</v>
      </c>
      <c r="J105" s="133"/>
      <c r="K105" s="131"/>
      <c r="L105" s="131"/>
      <c r="M105" s="299"/>
      <c r="N105" s="299"/>
      <c r="O105" s="123" t="s">
        <v>198</v>
      </c>
      <c r="P105" s="124"/>
      <c r="Q105" s="125" t="s">
        <v>50</v>
      </c>
      <c r="R105" s="124"/>
      <c r="S105" s="123" t="s">
        <v>198</v>
      </c>
      <c r="T105" s="124"/>
      <c r="U105" s="125" t="s">
        <v>50</v>
      </c>
      <c r="V105" s="124"/>
    </row>
    <row r="106" spans="2:22" ht="69" hidden="1" customHeight="1" outlineLevel="5">
      <c r="B106" s="126"/>
      <c r="C106" s="126"/>
      <c r="D106" s="126"/>
      <c r="E106" s="126"/>
      <c r="F106" s="116" t="s">
        <v>199</v>
      </c>
      <c r="G106" s="127"/>
      <c r="H106" s="119"/>
      <c r="I106" s="119"/>
      <c r="J106" s="292" t="s">
        <v>235</v>
      </c>
      <c r="K106" s="294" t="s">
        <v>297</v>
      </c>
      <c r="L106" s="118" t="s">
        <v>219</v>
      </c>
      <c r="M106" s="287" t="s">
        <v>220</v>
      </c>
      <c r="N106" s="287"/>
      <c r="O106" s="123" t="s">
        <v>198</v>
      </c>
      <c r="P106" s="124"/>
      <c r="Q106" s="125" t="s">
        <v>50</v>
      </c>
      <c r="R106" s="124"/>
      <c r="S106" s="123" t="s">
        <v>198</v>
      </c>
      <c r="T106" s="124"/>
      <c r="U106" s="125" t="s">
        <v>50</v>
      </c>
      <c r="V106" s="124"/>
    </row>
    <row r="107" spans="2:22" ht="57.75" hidden="1" customHeight="1" outlineLevel="5">
      <c r="B107" s="126"/>
      <c r="C107" s="126"/>
      <c r="D107" s="126"/>
      <c r="E107" s="126"/>
      <c r="F107" s="116" t="s">
        <v>199</v>
      </c>
      <c r="G107" s="127"/>
      <c r="H107" s="119"/>
      <c r="I107" s="119"/>
      <c r="J107" s="293"/>
      <c r="K107" s="295"/>
      <c r="L107" s="128" t="s">
        <v>290</v>
      </c>
      <c r="M107" s="288" t="s">
        <v>211</v>
      </c>
      <c r="N107" s="288"/>
      <c r="O107" s="123" t="s">
        <v>198</v>
      </c>
      <c r="P107" s="124"/>
      <c r="Q107" s="125" t="s">
        <v>50</v>
      </c>
      <c r="R107" s="124"/>
      <c r="S107" s="123" t="s">
        <v>198</v>
      </c>
      <c r="T107" s="124"/>
      <c r="U107" s="125" t="s">
        <v>50</v>
      </c>
      <c r="V107" s="124"/>
    </row>
    <row r="108" spans="2:22" ht="57.75" hidden="1" customHeight="1" outlineLevel="5">
      <c r="B108" s="126"/>
      <c r="C108" s="126"/>
      <c r="D108" s="126"/>
      <c r="E108" s="126"/>
      <c r="F108" s="116" t="s">
        <v>199</v>
      </c>
      <c r="G108" s="127"/>
      <c r="H108" s="119"/>
      <c r="I108" s="119"/>
      <c r="J108" s="293"/>
      <c r="K108" s="295"/>
      <c r="L108" s="118" t="s">
        <v>206</v>
      </c>
      <c r="M108" s="287" t="s">
        <v>207</v>
      </c>
      <c r="N108" s="287"/>
      <c r="O108" s="123" t="s">
        <v>198</v>
      </c>
      <c r="P108" s="124"/>
      <c r="Q108" s="125" t="s">
        <v>50</v>
      </c>
      <c r="R108" s="124"/>
      <c r="S108" s="123" t="s">
        <v>198</v>
      </c>
      <c r="T108" s="124"/>
      <c r="U108" s="125" t="s">
        <v>50</v>
      </c>
      <c r="V108" s="124"/>
    </row>
    <row r="109" spans="2:22" ht="61.5" hidden="1" customHeight="1" outlineLevel="5">
      <c r="B109" s="126"/>
      <c r="C109" s="126"/>
      <c r="D109" s="126"/>
      <c r="E109" s="126"/>
      <c r="F109" s="116" t="s">
        <v>199</v>
      </c>
      <c r="G109" s="127"/>
      <c r="H109" s="119"/>
      <c r="I109" s="119"/>
      <c r="J109" s="293"/>
      <c r="K109" s="295"/>
      <c r="L109" s="118" t="s">
        <v>269</v>
      </c>
      <c r="M109" s="287" t="s">
        <v>270</v>
      </c>
      <c r="N109" s="287"/>
      <c r="O109" s="123" t="s">
        <v>198</v>
      </c>
      <c r="P109" s="124"/>
      <c r="Q109" s="125" t="s">
        <v>50</v>
      </c>
      <c r="R109" s="124"/>
      <c r="S109" s="123" t="s">
        <v>198</v>
      </c>
      <c r="T109" s="124"/>
      <c r="U109" s="125" t="s">
        <v>50</v>
      </c>
      <c r="V109" s="124"/>
    </row>
    <row r="110" spans="2:22" s="134" customFormat="1" ht="82.5" hidden="1" customHeight="1" outlineLevel="4">
      <c r="B110" s="140" t="s">
        <v>298</v>
      </c>
      <c r="C110" s="140"/>
      <c r="D110" s="140"/>
      <c r="E110" s="140"/>
      <c r="F110" s="136" t="s">
        <v>231</v>
      </c>
      <c r="G110" s="131" t="s">
        <v>299</v>
      </c>
      <c r="H110" s="119" t="s">
        <v>233</v>
      </c>
      <c r="I110" s="119" t="s">
        <v>195</v>
      </c>
      <c r="J110" s="137" t="s">
        <v>300</v>
      </c>
      <c r="K110" s="131"/>
      <c r="L110" s="131"/>
      <c r="M110" s="300"/>
      <c r="N110" s="301"/>
      <c r="O110" s="123" t="s">
        <v>198</v>
      </c>
      <c r="P110" s="124"/>
      <c r="Q110" s="125" t="s">
        <v>50</v>
      </c>
      <c r="R110" s="124"/>
      <c r="S110" s="123" t="s">
        <v>198</v>
      </c>
      <c r="T110" s="124"/>
      <c r="U110" s="125" t="s">
        <v>50</v>
      </c>
      <c r="V110" s="124"/>
    </row>
    <row r="111" spans="2:22" ht="69" hidden="1" customHeight="1" outlineLevel="5">
      <c r="B111" s="126"/>
      <c r="C111" s="126"/>
      <c r="D111" s="126"/>
      <c r="E111" s="126"/>
      <c r="F111" s="116" t="s">
        <v>199</v>
      </c>
      <c r="G111" s="127"/>
      <c r="H111" s="119"/>
      <c r="I111" s="119"/>
      <c r="J111" s="292" t="s">
        <v>235</v>
      </c>
      <c r="K111" s="294" t="s">
        <v>301</v>
      </c>
      <c r="L111" s="118" t="s">
        <v>219</v>
      </c>
      <c r="M111" s="283" t="s">
        <v>225</v>
      </c>
      <c r="N111" s="284"/>
      <c r="O111" s="123" t="s">
        <v>198</v>
      </c>
      <c r="P111" s="124"/>
      <c r="Q111" s="125" t="s">
        <v>50</v>
      </c>
      <c r="R111" s="124"/>
      <c r="S111" s="123" t="s">
        <v>198</v>
      </c>
      <c r="T111" s="124"/>
      <c r="U111" s="125" t="s">
        <v>50</v>
      </c>
      <c r="V111" s="124"/>
    </row>
    <row r="112" spans="2:22" ht="57.75" hidden="1" customHeight="1" outlineLevel="5">
      <c r="B112" s="126"/>
      <c r="C112" s="126"/>
      <c r="D112" s="126"/>
      <c r="E112" s="126"/>
      <c r="F112" s="116" t="s">
        <v>199</v>
      </c>
      <c r="G112" s="127"/>
      <c r="H112" s="119"/>
      <c r="I112" s="119"/>
      <c r="J112" s="293"/>
      <c r="K112" s="295"/>
      <c r="L112" s="128" t="s">
        <v>290</v>
      </c>
      <c r="M112" s="285" t="s">
        <v>211</v>
      </c>
      <c r="N112" s="286"/>
      <c r="O112" s="123" t="s">
        <v>198</v>
      </c>
      <c r="P112" s="124"/>
      <c r="Q112" s="125" t="s">
        <v>50</v>
      </c>
      <c r="R112" s="124"/>
      <c r="S112" s="123" t="s">
        <v>198</v>
      </c>
      <c r="T112" s="124"/>
      <c r="U112" s="125" t="s">
        <v>50</v>
      </c>
      <c r="V112" s="124"/>
    </row>
    <row r="113" spans="2:22" ht="57.75" hidden="1" customHeight="1" outlineLevel="5">
      <c r="B113" s="126"/>
      <c r="C113" s="126"/>
      <c r="D113" s="126"/>
      <c r="E113" s="126"/>
      <c r="F113" s="116" t="s">
        <v>199</v>
      </c>
      <c r="G113" s="127"/>
      <c r="H113" s="119"/>
      <c r="I113" s="119"/>
      <c r="J113" s="293"/>
      <c r="K113" s="295"/>
      <c r="L113" s="118" t="s">
        <v>206</v>
      </c>
      <c r="M113" s="283" t="s">
        <v>302</v>
      </c>
      <c r="N113" s="284"/>
      <c r="O113" s="123" t="s">
        <v>198</v>
      </c>
      <c r="P113" s="124"/>
      <c r="Q113" s="125" t="s">
        <v>50</v>
      </c>
      <c r="R113" s="124"/>
      <c r="S113" s="123" t="s">
        <v>198</v>
      </c>
      <c r="T113" s="124"/>
      <c r="U113" s="125" t="s">
        <v>50</v>
      </c>
      <c r="V113" s="124"/>
    </row>
    <row r="114" spans="2:22" ht="61.5" hidden="1" customHeight="1" outlineLevel="5">
      <c r="B114" s="126"/>
      <c r="C114" s="126"/>
      <c r="D114" s="126"/>
      <c r="E114" s="126"/>
      <c r="F114" s="116" t="s">
        <v>199</v>
      </c>
      <c r="G114" s="127"/>
      <c r="H114" s="119"/>
      <c r="I114" s="119"/>
      <c r="J114" s="302"/>
      <c r="K114" s="303"/>
      <c r="L114" s="118" t="s">
        <v>269</v>
      </c>
      <c r="M114" s="283" t="s">
        <v>270</v>
      </c>
      <c r="N114" s="284"/>
      <c r="O114" s="123" t="s">
        <v>198</v>
      </c>
      <c r="P114" s="124"/>
      <c r="Q114" s="125" t="s">
        <v>50</v>
      </c>
      <c r="R114" s="124"/>
      <c r="S114" s="123" t="s">
        <v>198</v>
      </c>
      <c r="T114" s="124"/>
      <c r="U114" s="125" t="s">
        <v>50</v>
      </c>
      <c r="V114" s="124"/>
    </row>
    <row r="115" spans="2:22" s="134" customFormat="1" ht="82.5" hidden="1" customHeight="1" outlineLevel="4">
      <c r="B115" s="140" t="s">
        <v>303</v>
      </c>
      <c r="C115" s="140"/>
      <c r="D115" s="140"/>
      <c r="E115" s="140"/>
      <c r="F115" s="136" t="s">
        <v>231</v>
      </c>
      <c r="G115" s="131" t="s">
        <v>304</v>
      </c>
      <c r="H115" s="119" t="s">
        <v>216</v>
      </c>
      <c r="I115" s="119" t="s">
        <v>195</v>
      </c>
      <c r="J115" s="137" t="s">
        <v>305</v>
      </c>
      <c r="K115" s="131"/>
      <c r="L115" s="131"/>
      <c r="M115" s="299"/>
      <c r="N115" s="299"/>
      <c r="O115" s="123" t="s">
        <v>198</v>
      </c>
      <c r="P115" s="124"/>
      <c r="Q115" s="125" t="s">
        <v>50</v>
      </c>
      <c r="R115" s="124"/>
      <c r="S115" s="123" t="s">
        <v>198</v>
      </c>
      <c r="T115" s="124"/>
      <c r="U115" s="125" t="s">
        <v>50</v>
      </c>
      <c r="V115" s="124"/>
    </row>
    <row r="116" spans="2:22" ht="69" hidden="1" customHeight="1" outlineLevel="5">
      <c r="B116" s="126"/>
      <c r="C116" s="126"/>
      <c r="D116" s="126"/>
      <c r="E116" s="126"/>
      <c r="F116" s="116" t="s">
        <v>199</v>
      </c>
      <c r="G116" s="127"/>
      <c r="H116" s="119"/>
      <c r="I116" s="119"/>
      <c r="J116" s="292" t="s">
        <v>235</v>
      </c>
      <c r="K116" s="294" t="s">
        <v>306</v>
      </c>
      <c r="L116" s="118" t="s">
        <v>219</v>
      </c>
      <c r="M116" s="287" t="s">
        <v>210</v>
      </c>
      <c r="N116" s="287"/>
      <c r="O116" s="123" t="s">
        <v>198</v>
      </c>
      <c r="P116" s="124"/>
      <c r="Q116" s="125" t="s">
        <v>50</v>
      </c>
      <c r="R116" s="124"/>
      <c r="S116" s="123" t="s">
        <v>198</v>
      </c>
      <c r="T116" s="124"/>
      <c r="U116" s="125" t="s">
        <v>50</v>
      </c>
      <c r="V116" s="124"/>
    </row>
    <row r="117" spans="2:22" ht="57.75" hidden="1" customHeight="1" outlineLevel="5">
      <c r="B117" s="126"/>
      <c r="C117" s="126"/>
      <c r="D117" s="126"/>
      <c r="E117" s="126"/>
      <c r="F117" s="116" t="s">
        <v>199</v>
      </c>
      <c r="G117" s="127"/>
      <c r="H117" s="119"/>
      <c r="I117" s="119"/>
      <c r="J117" s="293"/>
      <c r="K117" s="295"/>
      <c r="L117" s="128" t="s">
        <v>290</v>
      </c>
      <c r="M117" s="288" t="s">
        <v>211</v>
      </c>
      <c r="N117" s="288"/>
      <c r="O117" s="123" t="s">
        <v>198</v>
      </c>
      <c r="P117" s="124"/>
      <c r="Q117" s="125" t="s">
        <v>50</v>
      </c>
      <c r="R117" s="124"/>
      <c r="S117" s="123" t="s">
        <v>198</v>
      </c>
      <c r="T117" s="124"/>
      <c r="U117" s="125" t="s">
        <v>50</v>
      </c>
      <c r="V117" s="124"/>
    </row>
    <row r="118" spans="2:22" ht="57.75" hidden="1" customHeight="1" outlineLevel="5">
      <c r="B118" s="126"/>
      <c r="C118" s="126"/>
      <c r="D118" s="126"/>
      <c r="E118" s="126"/>
      <c r="F118" s="116" t="s">
        <v>199</v>
      </c>
      <c r="G118" s="127"/>
      <c r="H118" s="119"/>
      <c r="I118" s="119"/>
      <c r="J118" s="293"/>
      <c r="K118" s="295"/>
      <c r="L118" s="118" t="s">
        <v>206</v>
      </c>
      <c r="M118" s="287" t="s">
        <v>302</v>
      </c>
      <c r="N118" s="287"/>
      <c r="O118" s="123" t="s">
        <v>198</v>
      </c>
      <c r="P118" s="124"/>
      <c r="Q118" s="125" t="s">
        <v>50</v>
      </c>
      <c r="R118" s="124"/>
      <c r="S118" s="123" t="s">
        <v>198</v>
      </c>
      <c r="T118" s="124"/>
      <c r="U118" s="125" t="s">
        <v>50</v>
      </c>
      <c r="V118" s="124"/>
    </row>
    <row r="119" spans="2:22" ht="61.5" hidden="1" customHeight="1" outlineLevel="5">
      <c r="B119" s="126"/>
      <c r="C119" s="126"/>
      <c r="D119" s="126"/>
      <c r="E119" s="126"/>
      <c r="F119" s="116" t="s">
        <v>199</v>
      </c>
      <c r="G119" s="127"/>
      <c r="H119" s="119"/>
      <c r="I119" s="119"/>
      <c r="J119" s="293"/>
      <c r="K119" s="295"/>
      <c r="L119" s="118" t="s">
        <v>269</v>
      </c>
      <c r="M119" s="287" t="s">
        <v>307</v>
      </c>
      <c r="N119" s="287"/>
      <c r="O119" s="123" t="s">
        <v>198</v>
      </c>
      <c r="P119" s="124"/>
      <c r="Q119" s="125" t="s">
        <v>50</v>
      </c>
      <c r="R119" s="124"/>
      <c r="S119" s="123" t="s">
        <v>198</v>
      </c>
      <c r="T119" s="124"/>
      <c r="U119" s="125" t="s">
        <v>50</v>
      </c>
      <c r="V119" s="124"/>
    </row>
    <row r="120" spans="2:22" s="134" customFormat="1" ht="82.5" hidden="1" customHeight="1" outlineLevel="4">
      <c r="B120" s="129" t="s">
        <v>308</v>
      </c>
      <c r="C120" s="129"/>
      <c r="D120" s="129"/>
      <c r="E120" s="129"/>
      <c r="F120" s="136" t="s">
        <v>231</v>
      </c>
      <c r="G120" s="131" t="s">
        <v>309</v>
      </c>
      <c r="H120" s="119" t="s">
        <v>216</v>
      </c>
      <c r="I120" s="119" t="s">
        <v>195</v>
      </c>
      <c r="J120" s="133"/>
      <c r="K120" s="131"/>
      <c r="L120" s="131"/>
      <c r="M120" s="299"/>
      <c r="N120" s="299"/>
      <c r="O120" s="123" t="s">
        <v>198</v>
      </c>
      <c r="P120" s="124"/>
      <c r="Q120" s="125" t="s">
        <v>50</v>
      </c>
      <c r="R120" s="124"/>
      <c r="S120" s="123" t="s">
        <v>198</v>
      </c>
      <c r="T120" s="124"/>
      <c r="U120" s="125" t="s">
        <v>50</v>
      </c>
      <c r="V120" s="124"/>
    </row>
    <row r="121" spans="2:22" ht="69" hidden="1" customHeight="1" outlineLevel="5">
      <c r="B121" s="126"/>
      <c r="C121" s="126"/>
      <c r="D121" s="126"/>
      <c r="E121" s="126"/>
      <c r="F121" s="116" t="s">
        <v>199</v>
      </c>
      <c r="G121" s="127"/>
      <c r="H121" s="119"/>
      <c r="I121" s="119"/>
      <c r="J121" s="292" t="s">
        <v>235</v>
      </c>
      <c r="K121" s="294" t="s">
        <v>310</v>
      </c>
      <c r="L121" s="118" t="s">
        <v>219</v>
      </c>
      <c r="M121" s="287" t="s">
        <v>220</v>
      </c>
      <c r="N121" s="287"/>
      <c r="O121" s="123" t="s">
        <v>198</v>
      </c>
      <c r="P121" s="124"/>
      <c r="Q121" s="125" t="s">
        <v>50</v>
      </c>
      <c r="R121" s="124"/>
      <c r="S121" s="123" t="s">
        <v>198</v>
      </c>
      <c r="T121" s="124"/>
      <c r="U121" s="125" t="s">
        <v>50</v>
      </c>
      <c r="V121" s="124"/>
    </row>
    <row r="122" spans="2:22" ht="57.75" hidden="1" customHeight="1" outlineLevel="5">
      <c r="B122" s="126"/>
      <c r="C122" s="126"/>
      <c r="D122" s="126"/>
      <c r="E122" s="126"/>
      <c r="F122" s="116" t="s">
        <v>199</v>
      </c>
      <c r="G122" s="127"/>
      <c r="H122" s="119"/>
      <c r="I122" s="119"/>
      <c r="J122" s="293"/>
      <c r="K122" s="295"/>
      <c r="L122" s="128" t="s">
        <v>290</v>
      </c>
      <c r="M122" s="288" t="s">
        <v>211</v>
      </c>
      <c r="N122" s="288"/>
      <c r="O122" s="123" t="s">
        <v>198</v>
      </c>
      <c r="P122" s="124"/>
      <c r="Q122" s="125" t="s">
        <v>50</v>
      </c>
      <c r="R122" s="124"/>
      <c r="S122" s="123" t="s">
        <v>198</v>
      </c>
      <c r="T122" s="124"/>
      <c r="U122" s="125" t="s">
        <v>50</v>
      </c>
      <c r="V122" s="124"/>
    </row>
    <row r="123" spans="2:22" ht="57.75" hidden="1" customHeight="1" outlineLevel="5">
      <c r="B123" s="126"/>
      <c r="C123" s="126"/>
      <c r="D123" s="126"/>
      <c r="E123" s="126"/>
      <c r="F123" s="116" t="s">
        <v>199</v>
      </c>
      <c r="G123" s="127"/>
      <c r="H123" s="119"/>
      <c r="I123" s="119"/>
      <c r="J123" s="293"/>
      <c r="K123" s="295"/>
      <c r="L123" s="118" t="s">
        <v>206</v>
      </c>
      <c r="M123" s="287" t="s">
        <v>207</v>
      </c>
      <c r="N123" s="287"/>
      <c r="O123" s="123" t="s">
        <v>198</v>
      </c>
      <c r="P123" s="124"/>
      <c r="Q123" s="125" t="s">
        <v>50</v>
      </c>
      <c r="R123" s="124"/>
      <c r="S123" s="123" t="s">
        <v>198</v>
      </c>
      <c r="T123" s="124"/>
      <c r="U123" s="125" t="s">
        <v>50</v>
      </c>
      <c r="V123" s="124"/>
    </row>
    <row r="124" spans="2:22" ht="61.5" hidden="1" customHeight="1" outlineLevel="5">
      <c r="B124" s="126"/>
      <c r="C124" s="126"/>
      <c r="D124" s="126"/>
      <c r="E124" s="126"/>
      <c r="F124" s="116" t="s">
        <v>199</v>
      </c>
      <c r="G124" s="127"/>
      <c r="H124" s="119"/>
      <c r="I124" s="119"/>
      <c r="J124" s="293"/>
      <c r="K124" s="295"/>
      <c r="L124" s="118" t="s">
        <v>269</v>
      </c>
      <c r="M124" s="287" t="s">
        <v>311</v>
      </c>
      <c r="N124" s="287"/>
      <c r="O124" s="123" t="s">
        <v>198</v>
      </c>
      <c r="P124" s="124"/>
      <c r="Q124" s="125" t="s">
        <v>50</v>
      </c>
      <c r="R124" s="124"/>
      <c r="S124" s="123" t="s">
        <v>198</v>
      </c>
      <c r="T124" s="124"/>
      <c r="U124" s="125" t="s">
        <v>50</v>
      </c>
      <c r="V124" s="124"/>
    </row>
    <row r="125" spans="2:22" s="134" customFormat="1" ht="82.5" hidden="1" customHeight="1" outlineLevel="4">
      <c r="B125" s="129" t="s">
        <v>312</v>
      </c>
      <c r="C125" s="129"/>
      <c r="D125" s="129"/>
      <c r="E125" s="129"/>
      <c r="F125" s="136" t="s">
        <v>231</v>
      </c>
      <c r="G125" s="131" t="s">
        <v>313</v>
      </c>
      <c r="H125" s="119" t="s">
        <v>216</v>
      </c>
      <c r="I125" s="119" t="s">
        <v>195</v>
      </c>
      <c r="J125" s="133"/>
      <c r="K125" s="131"/>
      <c r="L125" s="131"/>
      <c r="M125" s="299"/>
      <c r="N125" s="299"/>
      <c r="O125" s="123" t="s">
        <v>198</v>
      </c>
      <c r="P125" s="124"/>
      <c r="Q125" s="125" t="s">
        <v>50</v>
      </c>
      <c r="R125" s="124"/>
      <c r="S125" s="123" t="s">
        <v>198</v>
      </c>
      <c r="T125" s="124"/>
      <c r="U125" s="125" t="s">
        <v>50</v>
      </c>
      <c r="V125" s="124"/>
    </row>
    <row r="126" spans="2:22" ht="69" hidden="1" customHeight="1" outlineLevel="5">
      <c r="B126" s="126"/>
      <c r="C126" s="126"/>
      <c r="D126" s="126"/>
      <c r="E126" s="126"/>
      <c r="F126" s="116" t="s">
        <v>199</v>
      </c>
      <c r="G126" s="127"/>
      <c r="H126" s="119"/>
      <c r="I126" s="119"/>
      <c r="J126" s="292" t="s">
        <v>235</v>
      </c>
      <c r="K126" s="294" t="s">
        <v>314</v>
      </c>
      <c r="L126" s="118" t="s">
        <v>219</v>
      </c>
      <c r="M126" s="287" t="s">
        <v>210</v>
      </c>
      <c r="N126" s="287"/>
      <c r="O126" s="123" t="s">
        <v>198</v>
      </c>
      <c r="P126" s="124"/>
      <c r="Q126" s="125" t="s">
        <v>50</v>
      </c>
      <c r="R126" s="124"/>
      <c r="S126" s="123" t="s">
        <v>198</v>
      </c>
      <c r="T126" s="124"/>
      <c r="U126" s="125" t="s">
        <v>50</v>
      </c>
      <c r="V126" s="124"/>
    </row>
    <row r="127" spans="2:22" ht="57.75" hidden="1" customHeight="1" outlineLevel="5">
      <c r="B127" s="126"/>
      <c r="C127" s="126"/>
      <c r="D127" s="126"/>
      <c r="E127" s="126"/>
      <c r="F127" s="116" t="s">
        <v>199</v>
      </c>
      <c r="G127" s="127"/>
      <c r="H127" s="119"/>
      <c r="I127" s="119"/>
      <c r="J127" s="293"/>
      <c r="K127" s="295"/>
      <c r="L127" s="128" t="s">
        <v>315</v>
      </c>
      <c r="M127" s="288" t="s">
        <v>211</v>
      </c>
      <c r="N127" s="288"/>
      <c r="O127" s="123" t="s">
        <v>198</v>
      </c>
      <c r="P127" s="124"/>
      <c r="Q127" s="125" t="s">
        <v>50</v>
      </c>
      <c r="R127" s="124"/>
      <c r="S127" s="123" t="s">
        <v>198</v>
      </c>
      <c r="T127" s="124"/>
      <c r="U127" s="125" t="s">
        <v>50</v>
      </c>
      <c r="V127" s="124"/>
    </row>
    <row r="128" spans="2:22" ht="61.5" hidden="1" customHeight="1" outlineLevel="5">
      <c r="B128" s="126"/>
      <c r="C128" s="126"/>
      <c r="D128" s="126"/>
      <c r="E128" s="126"/>
      <c r="F128" s="116" t="s">
        <v>199</v>
      </c>
      <c r="G128" s="127"/>
      <c r="H128" s="119"/>
      <c r="I128" s="119"/>
      <c r="J128" s="293"/>
      <c r="K128" s="295"/>
      <c r="L128" s="118" t="s">
        <v>206</v>
      </c>
      <c r="M128" s="287" t="s">
        <v>245</v>
      </c>
      <c r="N128" s="287"/>
      <c r="O128" s="123" t="s">
        <v>198</v>
      </c>
      <c r="P128" s="124"/>
      <c r="Q128" s="125" t="s">
        <v>50</v>
      </c>
      <c r="R128" s="124"/>
      <c r="S128" s="123" t="s">
        <v>198</v>
      </c>
      <c r="T128" s="124"/>
      <c r="U128" s="125" t="s">
        <v>50</v>
      </c>
      <c r="V128" s="124"/>
    </row>
    <row r="129" spans="2:22" ht="24" customHeight="1" outlineLevel="1">
      <c r="B129" s="275" t="s">
        <v>316</v>
      </c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6"/>
      <c r="O129" s="115"/>
      <c r="P129" s="115"/>
      <c r="Q129" s="115"/>
      <c r="R129" s="115"/>
      <c r="S129" s="115"/>
      <c r="T129" s="115"/>
      <c r="U129" s="115"/>
      <c r="V129" s="115"/>
    </row>
    <row r="130" spans="2:22" s="147" customFormat="1" ht="89.25" customHeight="1" outlineLevel="4" collapsed="1">
      <c r="B130" s="141" t="s">
        <v>590</v>
      </c>
      <c r="C130" s="141"/>
      <c r="D130" s="141"/>
      <c r="E130" s="141"/>
      <c r="F130" s="142" t="s">
        <v>231</v>
      </c>
      <c r="G130" s="143" t="s">
        <v>317</v>
      </c>
      <c r="H130" s="144" t="s">
        <v>194</v>
      </c>
      <c r="I130" s="119" t="s">
        <v>195</v>
      </c>
      <c r="J130" s="145"/>
      <c r="K130" s="146">
        <f>(463/60)*3.6*(3.14/12.519)*(2*359/1000)</f>
        <v>5.0028409297867249</v>
      </c>
      <c r="L130" s="143"/>
      <c r="M130" s="268"/>
      <c r="N130" s="268"/>
      <c r="O130" s="123" t="s">
        <v>198</v>
      </c>
      <c r="P130" s="124"/>
      <c r="Q130" s="125" t="s">
        <v>50</v>
      </c>
      <c r="R130" s="124"/>
      <c r="S130" s="123" t="s">
        <v>198</v>
      </c>
      <c r="T130" s="124"/>
      <c r="U130" s="125" t="s">
        <v>50</v>
      </c>
      <c r="V130" s="124"/>
    </row>
    <row r="131" spans="2:22" ht="69" hidden="1" customHeight="1" outlineLevel="5">
      <c r="B131" s="126"/>
      <c r="C131" s="126"/>
      <c r="D131" s="126"/>
      <c r="E131" s="126"/>
      <c r="F131" s="116" t="s">
        <v>199</v>
      </c>
      <c r="G131" s="127"/>
      <c r="H131" s="119"/>
      <c r="I131" s="148"/>
      <c r="J131" s="292"/>
      <c r="K131" s="294" t="s">
        <v>318</v>
      </c>
      <c r="L131" s="118" t="s">
        <v>219</v>
      </c>
      <c r="M131" s="287" t="s">
        <v>203</v>
      </c>
      <c r="N131" s="287"/>
      <c r="O131" s="123" t="s">
        <v>198</v>
      </c>
      <c r="P131" s="124"/>
      <c r="Q131" s="125" t="s">
        <v>50</v>
      </c>
      <c r="R131" s="124"/>
      <c r="S131" s="123" t="s">
        <v>198</v>
      </c>
      <c r="T131" s="124"/>
      <c r="U131" s="125" t="s">
        <v>50</v>
      </c>
      <c r="V131" s="124"/>
    </row>
    <row r="132" spans="2:22" ht="57.75" hidden="1" customHeight="1" outlineLevel="5">
      <c r="B132" s="126"/>
      <c r="C132" s="126"/>
      <c r="D132" s="126"/>
      <c r="E132" s="126"/>
      <c r="F132" s="116" t="s">
        <v>199</v>
      </c>
      <c r="G132" s="127"/>
      <c r="H132" s="119"/>
      <c r="I132" s="148"/>
      <c r="J132" s="293"/>
      <c r="K132" s="295"/>
      <c r="L132" s="128" t="s">
        <v>204</v>
      </c>
      <c r="M132" s="288" t="s">
        <v>211</v>
      </c>
      <c r="N132" s="288"/>
      <c r="O132" s="123" t="s">
        <v>198</v>
      </c>
      <c r="P132" s="124"/>
      <c r="Q132" s="125" t="s">
        <v>50</v>
      </c>
      <c r="R132" s="124"/>
      <c r="S132" s="123" t="s">
        <v>198</v>
      </c>
      <c r="T132" s="124"/>
      <c r="U132" s="125" t="s">
        <v>50</v>
      </c>
      <c r="V132" s="124"/>
    </row>
    <row r="133" spans="2:22" ht="61.5" hidden="1" customHeight="1" outlineLevel="5">
      <c r="B133" s="126"/>
      <c r="C133" s="126"/>
      <c r="D133" s="126"/>
      <c r="E133" s="126"/>
      <c r="F133" s="116" t="s">
        <v>199</v>
      </c>
      <c r="G133" s="127"/>
      <c r="H133" s="119"/>
      <c r="I133" s="148"/>
      <c r="J133" s="293"/>
      <c r="K133" s="295"/>
      <c r="L133" s="118" t="s">
        <v>206</v>
      </c>
      <c r="M133" s="287" t="s">
        <v>212</v>
      </c>
      <c r="N133" s="287"/>
      <c r="O133" s="123" t="s">
        <v>198</v>
      </c>
      <c r="P133" s="124"/>
      <c r="Q133" s="125" t="s">
        <v>50</v>
      </c>
      <c r="R133" s="124"/>
      <c r="S133" s="123" t="s">
        <v>198</v>
      </c>
      <c r="T133" s="124"/>
      <c r="U133" s="125" t="s">
        <v>50</v>
      </c>
      <c r="V133" s="124"/>
    </row>
    <row r="134" spans="2:22" s="147" customFormat="1" ht="57.75" customHeight="1" outlineLevel="4">
      <c r="B134" s="141" t="s">
        <v>319</v>
      </c>
      <c r="C134" s="141"/>
      <c r="D134" s="141"/>
      <c r="E134" s="141"/>
      <c r="F134" s="149" t="s">
        <v>214</v>
      </c>
      <c r="G134" s="143" t="s">
        <v>320</v>
      </c>
      <c r="H134" s="144" t="s">
        <v>216</v>
      </c>
      <c r="I134" s="119" t="s">
        <v>195</v>
      </c>
      <c r="J134" s="145"/>
      <c r="K134" s="143"/>
      <c r="L134" s="143"/>
      <c r="M134" s="268"/>
      <c r="N134" s="268"/>
      <c r="O134" s="123" t="s">
        <v>198</v>
      </c>
      <c r="P134" s="124"/>
      <c r="Q134" s="125" t="s">
        <v>50</v>
      </c>
      <c r="R134" s="124"/>
      <c r="S134" s="123" t="s">
        <v>198</v>
      </c>
      <c r="T134" s="124"/>
      <c r="U134" s="125" t="s">
        <v>50</v>
      </c>
      <c r="V134" s="124"/>
    </row>
    <row r="135" spans="2:22" s="147" customFormat="1" ht="73.5" customHeight="1" outlineLevel="5">
      <c r="B135" s="150"/>
      <c r="C135" s="150"/>
      <c r="D135" s="150"/>
      <c r="E135" s="150"/>
      <c r="F135" s="149" t="s">
        <v>199</v>
      </c>
      <c r="G135" s="151"/>
      <c r="H135" s="144"/>
      <c r="I135" s="152"/>
      <c r="J135" s="296" t="s">
        <v>321</v>
      </c>
      <c r="K135" s="280" t="s">
        <v>322</v>
      </c>
      <c r="L135" s="118" t="s">
        <v>219</v>
      </c>
      <c r="M135" s="283" t="s">
        <v>323</v>
      </c>
      <c r="N135" s="284"/>
      <c r="O135" s="123" t="s">
        <v>198</v>
      </c>
      <c r="P135" s="124"/>
      <c r="Q135" s="125" t="s">
        <v>50</v>
      </c>
      <c r="R135" s="124"/>
      <c r="S135" s="123" t="s">
        <v>198</v>
      </c>
      <c r="T135" s="124"/>
      <c r="U135" s="125" t="s">
        <v>50</v>
      </c>
      <c r="V135" s="124"/>
    </row>
    <row r="136" spans="2:22" s="147" customFormat="1" ht="73.5" customHeight="1" outlineLevel="5">
      <c r="B136" s="150"/>
      <c r="C136" s="150"/>
      <c r="D136" s="150"/>
      <c r="E136" s="150"/>
      <c r="F136" s="149" t="s">
        <v>199</v>
      </c>
      <c r="G136" s="151"/>
      <c r="H136" s="144"/>
      <c r="I136" s="152"/>
      <c r="J136" s="297"/>
      <c r="K136" s="281"/>
      <c r="L136" s="118" t="s">
        <v>202</v>
      </c>
      <c r="M136" s="283" t="s">
        <v>324</v>
      </c>
      <c r="N136" s="284"/>
      <c r="O136" s="123" t="s">
        <v>198</v>
      </c>
      <c r="P136" s="124"/>
      <c r="Q136" s="125" t="s">
        <v>50</v>
      </c>
      <c r="R136" s="124"/>
      <c r="S136" s="123" t="s">
        <v>198</v>
      </c>
      <c r="T136" s="124"/>
      <c r="U136" s="125" t="s">
        <v>50</v>
      </c>
      <c r="V136" s="124"/>
    </row>
    <row r="137" spans="2:22" ht="69" customHeight="1" outlineLevel="5">
      <c r="B137" s="126"/>
      <c r="C137" s="126"/>
      <c r="D137" s="126"/>
      <c r="E137" s="126"/>
      <c r="F137" s="116" t="s">
        <v>199</v>
      </c>
      <c r="G137" s="127"/>
      <c r="H137" s="144"/>
      <c r="I137" s="148"/>
      <c r="J137" s="297"/>
      <c r="K137" s="281"/>
      <c r="L137" s="128" t="s">
        <v>204</v>
      </c>
      <c r="M137" s="283" t="s">
        <v>325</v>
      </c>
      <c r="N137" s="284"/>
      <c r="O137" s="123" t="s">
        <v>198</v>
      </c>
      <c r="P137" s="124"/>
      <c r="Q137" s="125" t="s">
        <v>50</v>
      </c>
      <c r="R137" s="124"/>
      <c r="S137" s="123" t="s">
        <v>198</v>
      </c>
      <c r="T137" s="124"/>
      <c r="U137" s="125" t="s">
        <v>50</v>
      </c>
      <c r="V137" s="124"/>
    </row>
    <row r="138" spans="2:22" ht="57.75" customHeight="1" outlineLevel="5">
      <c r="B138" s="126"/>
      <c r="C138" s="126"/>
      <c r="D138" s="126"/>
      <c r="E138" s="126"/>
      <c r="F138" s="116" t="s">
        <v>199</v>
      </c>
      <c r="G138" s="127"/>
      <c r="H138" s="144"/>
      <c r="I138" s="148"/>
      <c r="J138" s="298"/>
      <c r="K138" s="282"/>
      <c r="L138" s="118" t="s">
        <v>206</v>
      </c>
      <c r="M138" s="287" t="s">
        <v>326</v>
      </c>
      <c r="N138" s="287"/>
      <c r="O138" s="123" t="s">
        <v>198</v>
      </c>
      <c r="P138" s="124"/>
      <c r="Q138" s="125" t="s">
        <v>50</v>
      </c>
      <c r="R138" s="124"/>
      <c r="S138" s="123" t="s">
        <v>198</v>
      </c>
      <c r="T138" s="124"/>
      <c r="U138" s="125" t="s">
        <v>50</v>
      </c>
      <c r="V138" s="124"/>
    </row>
    <row r="139" spans="2:22" s="147" customFormat="1" ht="89.25" customHeight="1" outlineLevel="4">
      <c r="B139" s="141" t="s">
        <v>327</v>
      </c>
      <c r="C139" s="141"/>
      <c r="D139" s="141"/>
      <c r="E139" s="141"/>
      <c r="F139" s="142" t="s">
        <v>231</v>
      </c>
      <c r="G139" s="143" t="s">
        <v>328</v>
      </c>
      <c r="H139" s="144" t="s">
        <v>194</v>
      </c>
      <c r="I139" s="119" t="s">
        <v>195</v>
      </c>
      <c r="J139" s="145"/>
      <c r="K139" s="143"/>
      <c r="L139" s="143"/>
      <c r="M139" s="268"/>
      <c r="N139" s="268"/>
      <c r="O139" s="123" t="s">
        <v>198</v>
      </c>
      <c r="P139" s="124"/>
      <c r="Q139" s="125" t="s">
        <v>50</v>
      </c>
      <c r="R139" s="124"/>
      <c r="S139" s="123" t="s">
        <v>198</v>
      </c>
      <c r="T139" s="124"/>
      <c r="U139" s="125" t="s">
        <v>50</v>
      </c>
      <c r="V139" s="124"/>
    </row>
    <row r="140" spans="2:22" ht="69" customHeight="1" outlineLevel="5">
      <c r="B140" s="126"/>
      <c r="C140" s="126"/>
      <c r="D140" s="126"/>
      <c r="E140" s="126"/>
      <c r="F140" s="116" t="s">
        <v>199</v>
      </c>
      <c r="G140" s="127"/>
      <c r="H140" s="144"/>
      <c r="I140" s="148"/>
      <c r="J140" s="292" t="s">
        <v>329</v>
      </c>
      <c r="K140" s="294" t="s">
        <v>330</v>
      </c>
      <c r="L140" s="118" t="s">
        <v>219</v>
      </c>
      <c r="M140" s="287" t="s">
        <v>203</v>
      </c>
      <c r="N140" s="287"/>
      <c r="O140" s="123" t="s">
        <v>198</v>
      </c>
      <c r="P140" s="124"/>
      <c r="Q140" s="125" t="s">
        <v>50</v>
      </c>
      <c r="R140" s="124"/>
      <c r="S140" s="123" t="s">
        <v>198</v>
      </c>
      <c r="T140" s="124"/>
      <c r="U140" s="125" t="s">
        <v>50</v>
      </c>
      <c r="V140" s="124"/>
    </row>
    <row r="141" spans="2:22" ht="57.75" customHeight="1" outlineLevel="5">
      <c r="B141" s="126"/>
      <c r="C141" s="126"/>
      <c r="D141" s="126"/>
      <c r="E141" s="126"/>
      <c r="F141" s="116" t="s">
        <v>199</v>
      </c>
      <c r="G141" s="127"/>
      <c r="H141" s="144"/>
      <c r="I141" s="148"/>
      <c r="J141" s="293"/>
      <c r="K141" s="295"/>
      <c r="L141" s="128" t="s">
        <v>290</v>
      </c>
      <c r="M141" s="288" t="s">
        <v>211</v>
      </c>
      <c r="N141" s="288"/>
      <c r="O141" s="123" t="s">
        <v>198</v>
      </c>
      <c r="P141" s="124"/>
      <c r="Q141" s="125" t="s">
        <v>50</v>
      </c>
      <c r="R141" s="124"/>
      <c r="S141" s="123" t="s">
        <v>198</v>
      </c>
      <c r="T141" s="124"/>
      <c r="U141" s="125" t="s">
        <v>50</v>
      </c>
      <c r="V141" s="124"/>
    </row>
    <row r="142" spans="2:22" ht="61.5" customHeight="1" outlineLevel="5">
      <c r="B142" s="126"/>
      <c r="C142" s="126"/>
      <c r="D142" s="126"/>
      <c r="E142" s="126"/>
      <c r="F142" s="116" t="s">
        <v>199</v>
      </c>
      <c r="G142" s="127"/>
      <c r="H142" s="144"/>
      <c r="I142" s="148"/>
      <c r="J142" s="293"/>
      <c r="K142" s="295"/>
      <c r="L142" s="118" t="s">
        <v>206</v>
      </c>
      <c r="M142" s="287" t="s">
        <v>212</v>
      </c>
      <c r="N142" s="287"/>
      <c r="O142" s="123" t="s">
        <v>198</v>
      </c>
      <c r="P142" s="124"/>
      <c r="Q142" s="125" t="s">
        <v>50</v>
      </c>
      <c r="R142" s="124"/>
      <c r="S142" s="123" t="s">
        <v>198</v>
      </c>
      <c r="T142" s="124"/>
      <c r="U142" s="125" t="s">
        <v>50</v>
      </c>
      <c r="V142" s="124"/>
    </row>
    <row r="143" spans="2:22" s="147" customFormat="1" ht="57.75" customHeight="1" outlineLevel="4">
      <c r="B143" s="141" t="s">
        <v>319</v>
      </c>
      <c r="C143" s="141"/>
      <c r="D143" s="141"/>
      <c r="E143" s="141"/>
      <c r="F143" s="149" t="s">
        <v>214</v>
      </c>
      <c r="G143" s="143" t="s">
        <v>331</v>
      </c>
      <c r="H143" s="144" t="s">
        <v>216</v>
      </c>
      <c r="I143" s="119" t="s">
        <v>195</v>
      </c>
      <c r="J143" s="145"/>
      <c r="K143" s="143"/>
      <c r="L143" s="143"/>
      <c r="M143" s="268"/>
      <c r="N143" s="268"/>
      <c r="O143" s="123" t="s">
        <v>198</v>
      </c>
      <c r="P143" s="124"/>
      <c r="Q143" s="125" t="s">
        <v>50</v>
      </c>
      <c r="R143" s="124"/>
      <c r="S143" s="123" t="s">
        <v>198</v>
      </c>
      <c r="T143" s="124"/>
      <c r="U143" s="125" t="s">
        <v>50</v>
      </c>
      <c r="V143" s="124"/>
    </row>
    <row r="144" spans="2:22" s="147" customFormat="1" ht="73.5" customHeight="1" outlineLevel="5">
      <c r="B144" s="150"/>
      <c r="C144" s="150"/>
      <c r="D144" s="150"/>
      <c r="E144" s="150"/>
      <c r="F144" s="149" t="s">
        <v>199</v>
      </c>
      <c r="G144" s="151"/>
      <c r="H144" s="144"/>
      <c r="I144" s="152"/>
      <c r="J144" s="296" t="s">
        <v>321</v>
      </c>
      <c r="K144" s="280" t="s">
        <v>332</v>
      </c>
      <c r="L144" s="118" t="s">
        <v>219</v>
      </c>
      <c r="M144" s="283" t="s">
        <v>240</v>
      </c>
      <c r="N144" s="284"/>
      <c r="O144" s="123" t="s">
        <v>198</v>
      </c>
      <c r="P144" s="124"/>
      <c r="Q144" s="125" t="s">
        <v>50</v>
      </c>
      <c r="R144" s="124"/>
      <c r="S144" s="123" t="s">
        <v>198</v>
      </c>
      <c r="T144" s="124"/>
      <c r="U144" s="125" t="s">
        <v>50</v>
      </c>
      <c r="V144" s="124"/>
    </row>
    <row r="145" spans="2:22" ht="69" customHeight="1" outlineLevel="5">
      <c r="B145" s="126"/>
      <c r="C145" s="126"/>
      <c r="D145" s="126"/>
      <c r="E145" s="126"/>
      <c r="F145" s="116" t="s">
        <v>199</v>
      </c>
      <c r="G145" s="127"/>
      <c r="H145" s="144"/>
      <c r="I145" s="148"/>
      <c r="J145" s="297"/>
      <c r="K145" s="281"/>
      <c r="L145" s="128" t="s">
        <v>290</v>
      </c>
      <c r="M145" s="283" t="s">
        <v>325</v>
      </c>
      <c r="N145" s="284"/>
      <c r="O145" s="123" t="s">
        <v>198</v>
      </c>
      <c r="P145" s="124"/>
      <c r="Q145" s="125" t="s">
        <v>50</v>
      </c>
      <c r="R145" s="124"/>
      <c r="S145" s="123" t="s">
        <v>198</v>
      </c>
      <c r="T145" s="124"/>
      <c r="U145" s="125" t="s">
        <v>50</v>
      </c>
      <c r="V145" s="124"/>
    </row>
    <row r="146" spans="2:22" ht="57.75" customHeight="1" outlineLevel="5">
      <c r="B146" s="126"/>
      <c r="C146" s="126"/>
      <c r="D146" s="126"/>
      <c r="E146" s="126"/>
      <c r="F146" s="116" t="s">
        <v>199</v>
      </c>
      <c r="G146" s="127"/>
      <c r="H146" s="144"/>
      <c r="I146" s="148"/>
      <c r="J146" s="298"/>
      <c r="K146" s="282"/>
      <c r="L146" s="118" t="s">
        <v>206</v>
      </c>
      <c r="M146" s="287" t="s">
        <v>333</v>
      </c>
      <c r="N146" s="287"/>
      <c r="O146" s="123" t="s">
        <v>198</v>
      </c>
      <c r="P146" s="124"/>
      <c r="Q146" s="125" t="s">
        <v>50</v>
      </c>
      <c r="R146" s="124"/>
      <c r="S146" s="123" t="s">
        <v>198</v>
      </c>
      <c r="T146" s="124"/>
      <c r="U146" s="125" t="s">
        <v>50</v>
      </c>
      <c r="V146" s="124"/>
    </row>
    <row r="147" spans="2:22" s="147" customFormat="1" ht="61.5" customHeight="1" outlineLevel="4">
      <c r="B147" s="141" t="s">
        <v>334</v>
      </c>
      <c r="C147" s="141"/>
      <c r="D147" s="141"/>
      <c r="E147" s="141"/>
      <c r="F147" s="142" t="s">
        <v>231</v>
      </c>
      <c r="G147" s="143" t="s">
        <v>335</v>
      </c>
      <c r="H147" s="144" t="s">
        <v>194</v>
      </c>
      <c r="I147" s="119" t="s">
        <v>195</v>
      </c>
      <c r="J147" s="145" t="s">
        <v>336</v>
      </c>
      <c r="K147" s="143"/>
      <c r="L147" s="143"/>
      <c r="M147" s="268"/>
      <c r="N147" s="268"/>
      <c r="O147" s="123" t="s">
        <v>198</v>
      </c>
      <c r="P147" s="124"/>
      <c r="Q147" s="125" t="s">
        <v>50</v>
      </c>
      <c r="R147" s="124"/>
      <c r="S147" s="123" t="s">
        <v>198</v>
      </c>
      <c r="T147" s="124"/>
      <c r="U147" s="125" t="s">
        <v>50</v>
      </c>
      <c r="V147" s="124"/>
    </row>
    <row r="148" spans="2:22" ht="69" customHeight="1" outlineLevel="5">
      <c r="B148" s="126"/>
      <c r="C148" s="126"/>
      <c r="D148" s="126"/>
      <c r="E148" s="126"/>
      <c r="F148" s="116" t="s">
        <v>199</v>
      </c>
      <c r="G148" s="127"/>
      <c r="H148" s="144"/>
      <c r="I148" s="148"/>
      <c r="J148" s="292" t="s">
        <v>337</v>
      </c>
      <c r="K148" s="294" t="s">
        <v>338</v>
      </c>
      <c r="L148" s="118" t="s">
        <v>219</v>
      </c>
      <c r="M148" s="287" t="s">
        <v>210</v>
      </c>
      <c r="N148" s="287"/>
      <c r="O148" s="123" t="s">
        <v>198</v>
      </c>
      <c r="P148" s="124"/>
      <c r="Q148" s="125" t="s">
        <v>50</v>
      </c>
      <c r="R148" s="124"/>
      <c r="S148" s="123" t="s">
        <v>198</v>
      </c>
      <c r="T148" s="124"/>
      <c r="U148" s="125" t="s">
        <v>50</v>
      </c>
      <c r="V148" s="124"/>
    </row>
    <row r="149" spans="2:22" ht="57.75" customHeight="1" outlineLevel="5">
      <c r="B149" s="126"/>
      <c r="C149" s="126"/>
      <c r="D149" s="126"/>
      <c r="E149" s="126"/>
      <c r="F149" s="116" t="s">
        <v>199</v>
      </c>
      <c r="G149" s="127"/>
      <c r="H149" s="144"/>
      <c r="I149" s="148"/>
      <c r="J149" s="293"/>
      <c r="K149" s="295"/>
      <c r="L149" s="128" t="s">
        <v>290</v>
      </c>
      <c r="M149" s="288" t="s">
        <v>211</v>
      </c>
      <c r="N149" s="288"/>
      <c r="O149" s="123" t="s">
        <v>198</v>
      </c>
      <c r="P149" s="124"/>
      <c r="Q149" s="125" t="s">
        <v>50</v>
      </c>
      <c r="R149" s="124"/>
      <c r="S149" s="123" t="s">
        <v>198</v>
      </c>
      <c r="T149" s="124"/>
      <c r="U149" s="125" t="s">
        <v>50</v>
      </c>
      <c r="V149" s="124"/>
    </row>
    <row r="150" spans="2:22" ht="61.5" customHeight="1" outlineLevel="5">
      <c r="B150" s="126"/>
      <c r="C150" s="126"/>
      <c r="D150" s="126"/>
      <c r="E150" s="126"/>
      <c r="F150" s="116" t="s">
        <v>199</v>
      </c>
      <c r="G150" s="127"/>
      <c r="H150" s="144"/>
      <c r="I150" s="148"/>
      <c r="J150" s="293"/>
      <c r="K150" s="295"/>
      <c r="L150" s="118" t="s">
        <v>206</v>
      </c>
      <c r="M150" s="287" t="s">
        <v>339</v>
      </c>
      <c r="N150" s="287"/>
      <c r="O150" s="123" t="s">
        <v>198</v>
      </c>
      <c r="P150" s="124"/>
      <c r="Q150" s="125" t="s">
        <v>50</v>
      </c>
      <c r="R150" s="124"/>
      <c r="S150" s="123" t="s">
        <v>198</v>
      </c>
      <c r="T150" s="124"/>
      <c r="U150" s="125" t="s">
        <v>50</v>
      </c>
      <c r="V150" s="124"/>
    </row>
    <row r="151" spans="2:22" ht="69" customHeight="1" outlineLevel="5">
      <c r="B151" s="126"/>
      <c r="C151" s="126"/>
      <c r="D151" s="126"/>
      <c r="E151" s="126"/>
      <c r="F151" s="116" t="s">
        <v>199</v>
      </c>
      <c r="G151" s="127"/>
      <c r="H151" s="144"/>
      <c r="I151" s="148"/>
      <c r="J151" s="292"/>
      <c r="K151" s="294" t="s">
        <v>340</v>
      </c>
      <c r="L151" s="118" t="s">
        <v>219</v>
      </c>
      <c r="M151" s="287" t="s">
        <v>210</v>
      </c>
      <c r="N151" s="287"/>
      <c r="O151" s="123" t="s">
        <v>198</v>
      </c>
      <c r="P151" s="124"/>
      <c r="Q151" s="125" t="s">
        <v>50</v>
      </c>
      <c r="R151" s="124"/>
      <c r="S151" s="123" t="s">
        <v>198</v>
      </c>
      <c r="T151" s="124"/>
      <c r="U151" s="125" t="s">
        <v>50</v>
      </c>
      <c r="V151" s="124"/>
    </row>
    <row r="152" spans="2:22" ht="57.75" customHeight="1" outlineLevel="5">
      <c r="B152" s="126"/>
      <c r="C152" s="126"/>
      <c r="D152" s="126"/>
      <c r="E152" s="126"/>
      <c r="F152" s="116" t="s">
        <v>199</v>
      </c>
      <c r="G152" s="127"/>
      <c r="H152" s="144"/>
      <c r="I152" s="148"/>
      <c r="J152" s="293"/>
      <c r="K152" s="295"/>
      <c r="L152" s="128" t="s">
        <v>290</v>
      </c>
      <c r="M152" s="288" t="s">
        <v>211</v>
      </c>
      <c r="N152" s="288"/>
      <c r="O152" s="123" t="s">
        <v>198</v>
      </c>
      <c r="P152" s="124"/>
      <c r="Q152" s="125" t="s">
        <v>50</v>
      </c>
      <c r="R152" s="124"/>
      <c r="S152" s="123" t="s">
        <v>198</v>
      </c>
      <c r="T152" s="124"/>
      <c r="U152" s="125" t="s">
        <v>50</v>
      </c>
      <c r="V152" s="124"/>
    </row>
    <row r="153" spans="2:22" ht="61.5" customHeight="1" outlineLevel="5">
      <c r="B153" s="126"/>
      <c r="C153" s="126"/>
      <c r="D153" s="126"/>
      <c r="E153" s="126"/>
      <c r="F153" s="116" t="s">
        <v>199</v>
      </c>
      <c r="G153" s="127"/>
      <c r="H153" s="144"/>
      <c r="I153" s="148"/>
      <c r="J153" s="293"/>
      <c r="K153" s="295"/>
      <c r="L153" s="118" t="s">
        <v>206</v>
      </c>
      <c r="M153" s="287" t="s">
        <v>341</v>
      </c>
      <c r="N153" s="287"/>
      <c r="O153" s="123" t="s">
        <v>198</v>
      </c>
      <c r="P153" s="124"/>
      <c r="Q153" s="125" t="s">
        <v>50</v>
      </c>
      <c r="R153" s="124"/>
      <c r="S153" s="123" t="s">
        <v>198</v>
      </c>
      <c r="T153" s="124"/>
      <c r="U153" s="125" t="s">
        <v>50</v>
      </c>
      <c r="V153" s="124"/>
    </row>
    <row r="154" spans="2:22" s="147" customFormat="1" ht="89.25" customHeight="1" outlineLevel="4">
      <c r="B154" s="141" t="s">
        <v>342</v>
      </c>
      <c r="C154" s="141"/>
      <c r="D154" s="141"/>
      <c r="E154" s="141"/>
      <c r="F154" s="142" t="s">
        <v>231</v>
      </c>
      <c r="G154" s="143" t="s">
        <v>343</v>
      </c>
      <c r="H154" s="144" t="s">
        <v>194</v>
      </c>
      <c r="I154" s="119" t="s">
        <v>195</v>
      </c>
      <c r="J154" s="145"/>
      <c r="K154" s="143"/>
      <c r="L154" s="143"/>
      <c r="M154" s="268"/>
      <c r="N154" s="268"/>
      <c r="O154" s="123" t="s">
        <v>198</v>
      </c>
      <c r="P154" s="124"/>
      <c r="Q154" s="125" t="s">
        <v>50</v>
      </c>
      <c r="R154" s="124"/>
      <c r="S154" s="123" t="s">
        <v>198</v>
      </c>
      <c r="T154" s="124"/>
      <c r="U154" s="125" t="s">
        <v>50</v>
      </c>
      <c r="V154" s="124"/>
    </row>
    <row r="155" spans="2:22" ht="69" customHeight="1" outlineLevel="5">
      <c r="B155" s="126"/>
      <c r="C155" s="126"/>
      <c r="D155" s="126"/>
      <c r="E155" s="126"/>
      <c r="F155" s="116" t="s">
        <v>199</v>
      </c>
      <c r="G155" s="127"/>
      <c r="H155" s="144"/>
      <c r="I155" s="148"/>
      <c r="J155" s="292" t="s">
        <v>337</v>
      </c>
      <c r="K155" s="294" t="s">
        <v>344</v>
      </c>
      <c r="L155" s="118" t="s">
        <v>219</v>
      </c>
      <c r="M155" s="287" t="s">
        <v>203</v>
      </c>
      <c r="N155" s="287"/>
      <c r="O155" s="123" t="s">
        <v>198</v>
      </c>
      <c r="P155" s="124"/>
      <c r="Q155" s="125" t="s">
        <v>50</v>
      </c>
      <c r="R155" s="124"/>
      <c r="S155" s="123" t="s">
        <v>198</v>
      </c>
      <c r="T155" s="124"/>
      <c r="U155" s="125" t="s">
        <v>50</v>
      </c>
      <c r="V155" s="124"/>
    </row>
    <row r="156" spans="2:22" ht="57.75" customHeight="1" outlineLevel="5">
      <c r="B156" s="126"/>
      <c r="C156" s="126"/>
      <c r="D156" s="126"/>
      <c r="E156" s="126"/>
      <c r="F156" s="116" t="s">
        <v>199</v>
      </c>
      <c r="G156" s="127"/>
      <c r="H156" s="144"/>
      <c r="I156" s="148"/>
      <c r="J156" s="293"/>
      <c r="K156" s="295"/>
      <c r="L156" s="128" t="s">
        <v>290</v>
      </c>
      <c r="M156" s="288" t="s">
        <v>211</v>
      </c>
      <c r="N156" s="288"/>
      <c r="O156" s="123" t="s">
        <v>198</v>
      </c>
      <c r="P156" s="124"/>
      <c r="Q156" s="125" t="s">
        <v>50</v>
      </c>
      <c r="R156" s="124"/>
      <c r="S156" s="123" t="s">
        <v>198</v>
      </c>
      <c r="T156" s="124"/>
      <c r="U156" s="125" t="s">
        <v>50</v>
      </c>
      <c r="V156" s="124"/>
    </row>
    <row r="157" spans="2:22" ht="61.5" customHeight="1" outlineLevel="5">
      <c r="B157" s="126"/>
      <c r="C157" s="126"/>
      <c r="D157" s="126"/>
      <c r="E157" s="126"/>
      <c r="F157" s="116" t="s">
        <v>199</v>
      </c>
      <c r="G157" s="127"/>
      <c r="H157" s="144"/>
      <c r="I157" s="148"/>
      <c r="J157" s="293"/>
      <c r="K157" s="295"/>
      <c r="L157" s="118" t="s">
        <v>206</v>
      </c>
      <c r="M157" s="287" t="s">
        <v>212</v>
      </c>
      <c r="N157" s="287"/>
      <c r="O157" s="123" t="s">
        <v>198</v>
      </c>
      <c r="P157" s="124"/>
      <c r="Q157" s="125" t="s">
        <v>50</v>
      </c>
      <c r="R157" s="124"/>
      <c r="S157" s="123" t="s">
        <v>198</v>
      </c>
      <c r="T157" s="124"/>
      <c r="U157" s="125" t="s">
        <v>50</v>
      </c>
      <c r="V157" s="124"/>
    </row>
    <row r="158" spans="2:22" s="147" customFormat="1" ht="60.75" customHeight="1" outlineLevel="4">
      <c r="B158" s="141" t="s">
        <v>345</v>
      </c>
      <c r="C158" s="141"/>
      <c r="D158" s="141"/>
      <c r="E158" s="141"/>
      <c r="F158" s="142" t="s">
        <v>231</v>
      </c>
      <c r="G158" s="143" t="s">
        <v>346</v>
      </c>
      <c r="H158" s="144" t="s">
        <v>216</v>
      </c>
      <c r="I158" s="119" t="s">
        <v>195</v>
      </c>
      <c r="J158" s="153"/>
      <c r="K158" s="143" t="s">
        <v>347</v>
      </c>
      <c r="L158" s="143"/>
      <c r="M158" s="268"/>
      <c r="N158" s="268"/>
      <c r="O158" s="123" t="s">
        <v>198</v>
      </c>
      <c r="P158" s="124"/>
      <c r="Q158" s="125" t="s">
        <v>50</v>
      </c>
      <c r="R158" s="124"/>
      <c r="S158" s="123" t="s">
        <v>198</v>
      </c>
      <c r="T158" s="124"/>
      <c r="U158" s="125" t="s">
        <v>50</v>
      </c>
      <c r="V158" s="124"/>
    </row>
    <row r="159" spans="2:22" ht="69" customHeight="1" outlineLevel="5">
      <c r="B159" s="126"/>
      <c r="C159" s="126"/>
      <c r="D159" s="126"/>
      <c r="E159" s="126"/>
      <c r="F159" s="116" t="s">
        <v>199</v>
      </c>
      <c r="G159" s="127"/>
      <c r="H159" s="144"/>
      <c r="I159" s="148"/>
      <c r="J159" s="292" t="s">
        <v>337</v>
      </c>
      <c r="K159" s="294" t="s">
        <v>348</v>
      </c>
      <c r="L159" s="118" t="s">
        <v>219</v>
      </c>
      <c r="M159" s="287" t="s">
        <v>203</v>
      </c>
      <c r="N159" s="287"/>
      <c r="O159" s="123" t="s">
        <v>198</v>
      </c>
      <c r="P159" s="124"/>
      <c r="Q159" s="125" t="s">
        <v>50</v>
      </c>
      <c r="R159" s="124"/>
      <c r="S159" s="123" t="s">
        <v>198</v>
      </c>
      <c r="T159" s="124"/>
      <c r="U159" s="125" t="s">
        <v>50</v>
      </c>
      <c r="V159" s="124"/>
    </row>
    <row r="160" spans="2:22" ht="57.75" customHeight="1" outlineLevel="5">
      <c r="B160" s="126"/>
      <c r="C160" s="126"/>
      <c r="D160" s="126"/>
      <c r="E160" s="126"/>
      <c r="F160" s="116" t="s">
        <v>199</v>
      </c>
      <c r="G160" s="127"/>
      <c r="H160" s="144"/>
      <c r="I160" s="148"/>
      <c r="J160" s="293"/>
      <c r="K160" s="295"/>
      <c r="L160" s="128" t="s">
        <v>290</v>
      </c>
      <c r="M160" s="288" t="s">
        <v>211</v>
      </c>
      <c r="N160" s="288"/>
      <c r="O160" s="123" t="s">
        <v>198</v>
      </c>
      <c r="P160" s="124"/>
      <c r="Q160" s="125" t="s">
        <v>50</v>
      </c>
      <c r="R160" s="124"/>
      <c r="S160" s="123" t="s">
        <v>198</v>
      </c>
      <c r="T160" s="124"/>
      <c r="U160" s="125" t="s">
        <v>50</v>
      </c>
      <c r="V160" s="124"/>
    </row>
    <row r="161" spans="2:22" ht="61.5" customHeight="1" outlineLevel="5">
      <c r="B161" s="126"/>
      <c r="C161" s="126"/>
      <c r="D161" s="126"/>
      <c r="E161" s="126"/>
      <c r="F161" s="116" t="s">
        <v>199</v>
      </c>
      <c r="G161" s="127"/>
      <c r="H161" s="144"/>
      <c r="I161" s="148"/>
      <c r="J161" s="293"/>
      <c r="K161" s="295"/>
      <c r="L161" s="118" t="s">
        <v>206</v>
      </c>
      <c r="M161" s="287" t="s">
        <v>349</v>
      </c>
      <c r="N161" s="287"/>
      <c r="O161" s="123" t="s">
        <v>198</v>
      </c>
      <c r="P161" s="124"/>
      <c r="Q161" s="125" t="s">
        <v>50</v>
      </c>
      <c r="R161" s="124"/>
      <c r="S161" s="123" t="s">
        <v>198</v>
      </c>
      <c r="T161" s="124"/>
      <c r="U161" s="125" t="s">
        <v>50</v>
      </c>
      <c r="V161" s="124"/>
    </row>
    <row r="162" spans="2:22" s="147" customFormat="1" ht="60.75" customHeight="1" outlineLevel="4">
      <c r="B162" s="141" t="s">
        <v>350</v>
      </c>
      <c r="C162" s="141"/>
      <c r="D162" s="141"/>
      <c r="E162" s="141"/>
      <c r="F162" s="142" t="s">
        <v>231</v>
      </c>
      <c r="G162" s="143" t="s">
        <v>351</v>
      </c>
      <c r="H162" s="144" t="s">
        <v>216</v>
      </c>
      <c r="I162" s="119" t="s">
        <v>195</v>
      </c>
      <c r="J162" s="153"/>
      <c r="K162" s="143"/>
      <c r="L162" s="143"/>
      <c r="M162" s="268"/>
      <c r="N162" s="268"/>
      <c r="O162" s="123" t="s">
        <v>198</v>
      </c>
      <c r="P162" s="124"/>
      <c r="Q162" s="125" t="s">
        <v>50</v>
      </c>
      <c r="R162" s="124"/>
      <c r="S162" s="123" t="s">
        <v>198</v>
      </c>
      <c r="T162" s="124"/>
      <c r="U162" s="125" t="s">
        <v>50</v>
      </c>
      <c r="V162" s="124"/>
    </row>
    <row r="163" spans="2:22" ht="69" customHeight="1" outlineLevel="5">
      <c r="B163" s="126"/>
      <c r="C163" s="126"/>
      <c r="D163" s="126"/>
      <c r="E163" s="126"/>
      <c r="F163" s="116" t="s">
        <v>199</v>
      </c>
      <c r="G163" s="127"/>
      <c r="H163" s="119"/>
      <c r="I163" s="148"/>
      <c r="J163" s="292" t="s">
        <v>337</v>
      </c>
      <c r="K163" s="294" t="s">
        <v>352</v>
      </c>
      <c r="L163" s="118" t="s">
        <v>219</v>
      </c>
      <c r="M163" s="287" t="s">
        <v>203</v>
      </c>
      <c r="N163" s="287"/>
      <c r="O163" s="123" t="s">
        <v>198</v>
      </c>
      <c r="P163" s="124"/>
      <c r="Q163" s="125" t="s">
        <v>50</v>
      </c>
      <c r="R163" s="124"/>
      <c r="S163" s="123" t="s">
        <v>198</v>
      </c>
      <c r="T163" s="124"/>
      <c r="U163" s="125" t="s">
        <v>50</v>
      </c>
      <c r="V163" s="124"/>
    </row>
    <row r="164" spans="2:22" ht="57.75" customHeight="1" outlineLevel="5">
      <c r="B164" s="126"/>
      <c r="C164" s="126"/>
      <c r="D164" s="126"/>
      <c r="E164" s="126"/>
      <c r="F164" s="116" t="s">
        <v>199</v>
      </c>
      <c r="G164" s="127"/>
      <c r="H164" s="119"/>
      <c r="I164" s="148"/>
      <c r="J164" s="293"/>
      <c r="K164" s="295"/>
      <c r="L164" s="128" t="s">
        <v>204</v>
      </c>
      <c r="M164" s="288" t="s">
        <v>211</v>
      </c>
      <c r="N164" s="288"/>
      <c r="O164" s="123" t="s">
        <v>198</v>
      </c>
      <c r="P164" s="124"/>
      <c r="Q164" s="125" t="s">
        <v>50</v>
      </c>
      <c r="R164" s="124"/>
      <c r="S164" s="123" t="s">
        <v>198</v>
      </c>
      <c r="T164" s="124"/>
      <c r="U164" s="125" t="s">
        <v>50</v>
      </c>
      <c r="V164" s="124"/>
    </row>
    <row r="165" spans="2:22" ht="61.5" customHeight="1" outlineLevel="5">
      <c r="B165" s="126"/>
      <c r="C165" s="126"/>
      <c r="D165" s="126"/>
      <c r="E165" s="126"/>
      <c r="F165" s="116" t="s">
        <v>199</v>
      </c>
      <c r="G165" s="127"/>
      <c r="H165" s="119"/>
      <c r="I165" s="148"/>
      <c r="J165" s="293"/>
      <c r="K165" s="295"/>
      <c r="L165" s="118" t="s">
        <v>206</v>
      </c>
      <c r="M165" s="287" t="s">
        <v>353</v>
      </c>
      <c r="N165" s="287"/>
      <c r="O165" s="123" t="s">
        <v>198</v>
      </c>
      <c r="P165" s="124"/>
      <c r="Q165" s="125" t="s">
        <v>50</v>
      </c>
      <c r="R165" s="124"/>
      <c r="S165" s="123" t="s">
        <v>198</v>
      </c>
      <c r="T165" s="124"/>
      <c r="U165" s="125" t="s">
        <v>50</v>
      </c>
      <c r="V165" s="124"/>
    </row>
    <row r="166" spans="2:22" ht="24" customHeight="1" outlineLevel="1" collapsed="1">
      <c r="B166" s="275" t="s">
        <v>354</v>
      </c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6"/>
      <c r="O166" s="115"/>
      <c r="P166" s="115"/>
      <c r="Q166" s="115"/>
      <c r="R166" s="115"/>
      <c r="S166" s="115"/>
      <c r="T166" s="115"/>
      <c r="U166" s="115"/>
      <c r="V166" s="115"/>
    </row>
    <row r="167" spans="2:22" s="147" customFormat="1" ht="47.25" hidden="1" customHeight="1" outlineLevel="4">
      <c r="B167" s="154" t="s">
        <v>355</v>
      </c>
      <c r="C167" s="154"/>
      <c r="D167" s="154"/>
      <c r="E167" s="154"/>
      <c r="F167" s="155" t="s">
        <v>231</v>
      </c>
      <c r="G167" s="156" t="s">
        <v>356</v>
      </c>
      <c r="H167" s="144" t="s">
        <v>216</v>
      </c>
      <c r="I167" s="119" t="s">
        <v>195</v>
      </c>
      <c r="J167" s="153"/>
      <c r="K167" s="143" t="s">
        <v>357</v>
      </c>
      <c r="L167" s="143"/>
      <c r="M167" s="268"/>
      <c r="N167" s="268"/>
      <c r="O167" s="123" t="s">
        <v>198</v>
      </c>
      <c r="P167" s="124"/>
      <c r="Q167" s="125" t="s">
        <v>50</v>
      </c>
      <c r="R167" s="124"/>
      <c r="S167" s="123" t="s">
        <v>198</v>
      </c>
      <c r="T167" s="124"/>
      <c r="U167" s="125" t="s">
        <v>50</v>
      </c>
      <c r="V167" s="124"/>
    </row>
    <row r="168" spans="2:22" ht="69" hidden="1" customHeight="1" outlineLevel="5">
      <c r="B168" s="126"/>
      <c r="C168" s="126"/>
      <c r="D168" s="126"/>
      <c r="E168" s="126"/>
      <c r="F168" s="116" t="s">
        <v>199</v>
      </c>
      <c r="G168" s="127"/>
      <c r="H168" s="144"/>
      <c r="I168" s="148"/>
      <c r="J168" s="277" t="s">
        <v>358</v>
      </c>
      <c r="K168" s="280" t="s">
        <v>332</v>
      </c>
      <c r="L168" s="118" t="s">
        <v>219</v>
      </c>
      <c r="M168" s="287" t="s">
        <v>240</v>
      </c>
      <c r="N168" s="287"/>
      <c r="O168" s="123" t="s">
        <v>198</v>
      </c>
      <c r="P168" s="124"/>
      <c r="Q168" s="125" t="s">
        <v>50</v>
      </c>
      <c r="R168" s="124"/>
      <c r="S168" s="123" t="s">
        <v>198</v>
      </c>
      <c r="T168" s="124"/>
      <c r="U168" s="125" t="s">
        <v>50</v>
      </c>
      <c r="V168" s="124"/>
    </row>
    <row r="169" spans="2:22" ht="57.75" hidden="1" customHeight="1" outlineLevel="5">
      <c r="B169" s="126"/>
      <c r="C169" s="126"/>
      <c r="D169" s="126"/>
      <c r="E169" s="126"/>
      <c r="F169" s="116" t="s">
        <v>199</v>
      </c>
      <c r="G169" s="127"/>
      <c r="H169" s="144"/>
      <c r="I169" s="148"/>
      <c r="J169" s="278"/>
      <c r="K169" s="281"/>
      <c r="L169" s="128" t="s">
        <v>290</v>
      </c>
      <c r="M169" s="288" t="s">
        <v>211</v>
      </c>
      <c r="N169" s="288"/>
      <c r="O169" s="123" t="s">
        <v>198</v>
      </c>
      <c r="P169" s="124"/>
      <c r="Q169" s="125" t="s">
        <v>50</v>
      </c>
      <c r="R169" s="124"/>
      <c r="S169" s="123" t="s">
        <v>198</v>
      </c>
      <c r="T169" s="124"/>
      <c r="U169" s="125" t="s">
        <v>50</v>
      </c>
      <c r="V169" s="124"/>
    </row>
    <row r="170" spans="2:22" ht="57.75" hidden="1" customHeight="1" outlineLevel="5">
      <c r="B170" s="126"/>
      <c r="C170" s="126"/>
      <c r="D170" s="126"/>
      <c r="E170" s="126"/>
      <c r="F170" s="116" t="s">
        <v>199</v>
      </c>
      <c r="G170" s="127"/>
      <c r="H170" s="144"/>
      <c r="I170" s="148"/>
      <c r="J170" s="279"/>
      <c r="K170" s="282"/>
      <c r="L170" s="118" t="s">
        <v>206</v>
      </c>
      <c r="M170" s="287" t="s">
        <v>207</v>
      </c>
      <c r="N170" s="287"/>
      <c r="O170" s="123" t="s">
        <v>198</v>
      </c>
      <c r="P170" s="124"/>
      <c r="Q170" s="125" t="s">
        <v>50</v>
      </c>
      <c r="R170" s="124"/>
      <c r="S170" s="123" t="s">
        <v>198</v>
      </c>
      <c r="T170" s="124"/>
      <c r="U170" s="125" t="s">
        <v>50</v>
      </c>
      <c r="V170" s="124"/>
    </row>
    <row r="171" spans="2:22" s="147" customFormat="1" ht="47.25" hidden="1" customHeight="1" outlineLevel="4">
      <c r="B171" s="154" t="s">
        <v>359</v>
      </c>
      <c r="C171" s="154"/>
      <c r="D171" s="154"/>
      <c r="E171" s="154"/>
      <c r="F171" s="157" t="s">
        <v>214</v>
      </c>
      <c r="G171" s="156" t="s">
        <v>360</v>
      </c>
      <c r="H171" s="144" t="s">
        <v>233</v>
      </c>
      <c r="I171" s="119" t="s">
        <v>195</v>
      </c>
      <c r="J171" s="153"/>
      <c r="K171" s="143"/>
      <c r="L171" s="143"/>
      <c r="M171" s="268"/>
      <c r="N171" s="268"/>
      <c r="O171" s="123" t="s">
        <v>198</v>
      </c>
      <c r="P171" s="124"/>
      <c r="Q171" s="125" t="s">
        <v>50</v>
      </c>
      <c r="R171" s="124"/>
      <c r="S171" s="123" t="s">
        <v>198</v>
      </c>
      <c r="T171" s="124"/>
      <c r="U171" s="125" t="s">
        <v>50</v>
      </c>
      <c r="V171" s="124"/>
    </row>
    <row r="172" spans="2:22" ht="69" hidden="1" customHeight="1" outlineLevel="5">
      <c r="B172" s="126"/>
      <c r="C172" s="126"/>
      <c r="D172" s="126"/>
      <c r="E172" s="126"/>
      <c r="F172" s="116" t="s">
        <v>199</v>
      </c>
      <c r="G172" s="127"/>
      <c r="H172" s="144"/>
      <c r="I172" s="148"/>
      <c r="J172" s="277" t="s">
        <v>361</v>
      </c>
      <c r="K172" s="280" t="s">
        <v>362</v>
      </c>
      <c r="L172" s="118" t="s">
        <v>219</v>
      </c>
      <c r="M172" s="287" t="s">
        <v>220</v>
      </c>
      <c r="N172" s="287"/>
      <c r="O172" s="123" t="s">
        <v>198</v>
      </c>
      <c r="P172" s="124"/>
      <c r="Q172" s="125" t="s">
        <v>50</v>
      </c>
      <c r="R172" s="124"/>
      <c r="S172" s="123" t="s">
        <v>198</v>
      </c>
      <c r="T172" s="124"/>
      <c r="U172" s="125" t="s">
        <v>50</v>
      </c>
      <c r="V172" s="124"/>
    </row>
    <row r="173" spans="2:22" ht="57.75" hidden="1" customHeight="1" outlineLevel="5">
      <c r="B173" s="126"/>
      <c r="C173" s="126"/>
      <c r="D173" s="126"/>
      <c r="E173" s="126"/>
      <c r="F173" s="116" t="s">
        <v>199</v>
      </c>
      <c r="G173" s="127"/>
      <c r="H173" s="144"/>
      <c r="I173" s="148"/>
      <c r="J173" s="278"/>
      <c r="K173" s="281"/>
      <c r="L173" s="128" t="s">
        <v>290</v>
      </c>
      <c r="M173" s="288" t="s">
        <v>211</v>
      </c>
      <c r="N173" s="288"/>
      <c r="O173" s="123" t="s">
        <v>198</v>
      </c>
      <c r="P173" s="124"/>
      <c r="Q173" s="125" t="s">
        <v>50</v>
      </c>
      <c r="R173" s="124"/>
      <c r="S173" s="123" t="s">
        <v>198</v>
      </c>
      <c r="T173" s="124"/>
      <c r="U173" s="125" t="s">
        <v>50</v>
      </c>
      <c r="V173" s="124"/>
    </row>
    <row r="174" spans="2:22" ht="57.75" hidden="1" customHeight="1" outlineLevel="5">
      <c r="B174" s="126"/>
      <c r="C174" s="126"/>
      <c r="D174" s="126"/>
      <c r="E174" s="126"/>
      <c r="F174" s="116" t="s">
        <v>199</v>
      </c>
      <c r="G174" s="127"/>
      <c r="H174" s="144"/>
      <c r="I174" s="148"/>
      <c r="J174" s="279"/>
      <c r="K174" s="282"/>
      <c r="L174" s="118" t="s">
        <v>206</v>
      </c>
      <c r="M174" s="287" t="s">
        <v>207</v>
      </c>
      <c r="N174" s="287"/>
      <c r="O174" s="123" t="s">
        <v>198</v>
      </c>
      <c r="P174" s="124"/>
      <c r="Q174" s="125" t="s">
        <v>50</v>
      </c>
      <c r="R174" s="124"/>
      <c r="S174" s="123" t="s">
        <v>198</v>
      </c>
      <c r="T174" s="124"/>
      <c r="U174" s="125" t="s">
        <v>50</v>
      </c>
      <c r="V174" s="124"/>
    </row>
    <row r="175" spans="2:22" s="147" customFormat="1" ht="47.25" hidden="1" customHeight="1" outlineLevel="4">
      <c r="B175" s="141" t="s">
        <v>363</v>
      </c>
      <c r="C175" s="141"/>
      <c r="D175" s="141"/>
      <c r="E175" s="141"/>
      <c r="F175" s="142" t="s">
        <v>231</v>
      </c>
      <c r="G175" s="143" t="s">
        <v>364</v>
      </c>
      <c r="H175" s="144" t="s">
        <v>216</v>
      </c>
      <c r="I175" s="119" t="s">
        <v>195</v>
      </c>
      <c r="J175" s="153"/>
      <c r="K175" s="143"/>
      <c r="L175" s="143"/>
      <c r="M175" s="268"/>
      <c r="N175" s="268"/>
      <c r="O175" s="123" t="s">
        <v>198</v>
      </c>
      <c r="P175" s="124"/>
      <c r="Q175" s="125" t="s">
        <v>50</v>
      </c>
      <c r="R175" s="124"/>
      <c r="S175" s="123" t="s">
        <v>198</v>
      </c>
      <c r="T175" s="124"/>
      <c r="U175" s="125" t="s">
        <v>50</v>
      </c>
      <c r="V175" s="124"/>
    </row>
    <row r="176" spans="2:22" ht="69" hidden="1" customHeight="1" outlineLevel="5">
      <c r="B176" s="126"/>
      <c r="C176" s="126"/>
      <c r="D176" s="126"/>
      <c r="E176" s="126"/>
      <c r="F176" s="116" t="s">
        <v>199</v>
      </c>
      <c r="G176" s="127"/>
      <c r="H176" s="144"/>
      <c r="I176" s="148"/>
      <c r="J176" s="277" t="s">
        <v>365</v>
      </c>
      <c r="K176" s="280" t="s">
        <v>366</v>
      </c>
      <c r="L176" s="118" t="s">
        <v>219</v>
      </c>
      <c r="M176" s="287" t="s">
        <v>240</v>
      </c>
      <c r="N176" s="287"/>
      <c r="O176" s="123" t="s">
        <v>198</v>
      </c>
      <c r="P176" s="124"/>
      <c r="Q176" s="125" t="s">
        <v>50</v>
      </c>
      <c r="R176" s="124"/>
      <c r="S176" s="123" t="s">
        <v>198</v>
      </c>
      <c r="T176" s="124"/>
      <c r="U176" s="125" t="s">
        <v>50</v>
      </c>
      <c r="V176" s="124"/>
    </row>
    <row r="177" spans="2:22" ht="57.75" hidden="1" customHeight="1" outlineLevel="5">
      <c r="B177" s="126"/>
      <c r="C177" s="126"/>
      <c r="D177" s="126"/>
      <c r="E177" s="126"/>
      <c r="F177" s="116" t="s">
        <v>199</v>
      </c>
      <c r="G177" s="127"/>
      <c r="H177" s="144"/>
      <c r="I177" s="148"/>
      <c r="J177" s="278"/>
      <c r="K177" s="281"/>
      <c r="L177" s="128" t="s">
        <v>290</v>
      </c>
      <c r="M177" s="288" t="s">
        <v>211</v>
      </c>
      <c r="N177" s="288"/>
      <c r="O177" s="123" t="s">
        <v>198</v>
      </c>
      <c r="P177" s="124"/>
      <c r="Q177" s="125" t="s">
        <v>50</v>
      </c>
      <c r="R177" s="124"/>
      <c r="S177" s="123" t="s">
        <v>198</v>
      </c>
      <c r="T177" s="124"/>
      <c r="U177" s="125" t="s">
        <v>50</v>
      </c>
      <c r="V177" s="124"/>
    </row>
    <row r="178" spans="2:22" ht="57.75" hidden="1" customHeight="1" outlineLevel="5">
      <c r="B178" s="126"/>
      <c r="C178" s="126"/>
      <c r="D178" s="126"/>
      <c r="E178" s="126"/>
      <c r="F178" s="116" t="s">
        <v>199</v>
      </c>
      <c r="G178" s="127"/>
      <c r="H178" s="144"/>
      <c r="I178" s="148"/>
      <c r="J178" s="279"/>
      <c r="K178" s="282"/>
      <c r="L178" s="118" t="s">
        <v>206</v>
      </c>
      <c r="M178" s="287" t="s">
        <v>207</v>
      </c>
      <c r="N178" s="287"/>
      <c r="O178" s="123" t="s">
        <v>198</v>
      </c>
      <c r="P178" s="124"/>
      <c r="Q178" s="125" t="s">
        <v>50</v>
      </c>
      <c r="R178" s="124"/>
      <c r="S178" s="123" t="s">
        <v>198</v>
      </c>
      <c r="T178" s="124"/>
      <c r="U178" s="125" t="s">
        <v>50</v>
      </c>
      <c r="V178" s="124"/>
    </row>
    <row r="179" spans="2:22" s="147" customFormat="1" ht="47.25" hidden="1" customHeight="1" outlineLevel="4">
      <c r="B179" s="141" t="s">
        <v>367</v>
      </c>
      <c r="C179" s="141"/>
      <c r="D179" s="141"/>
      <c r="E179" s="141"/>
      <c r="F179" s="149" t="s">
        <v>214</v>
      </c>
      <c r="G179" s="143" t="s">
        <v>368</v>
      </c>
      <c r="H179" s="144" t="s">
        <v>233</v>
      </c>
      <c r="I179" s="119" t="s">
        <v>195</v>
      </c>
      <c r="J179" s="153"/>
      <c r="K179" s="143"/>
      <c r="L179" s="143"/>
      <c r="M179" s="268"/>
      <c r="N179" s="268"/>
      <c r="O179" s="123" t="s">
        <v>198</v>
      </c>
      <c r="P179" s="124"/>
      <c r="Q179" s="125" t="s">
        <v>50</v>
      </c>
      <c r="R179" s="124"/>
      <c r="S179" s="123" t="s">
        <v>198</v>
      </c>
      <c r="T179" s="124"/>
      <c r="U179" s="125" t="s">
        <v>50</v>
      </c>
      <c r="V179" s="124"/>
    </row>
    <row r="180" spans="2:22" ht="69" hidden="1" customHeight="1" outlineLevel="6">
      <c r="B180" s="126"/>
      <c r="C180" s="126"/>
      <c r="D180" s="126"/>
      <c r="E180" s="126"/>
      <c r="F180" s="116" t="s">
        <v>199</v>
      </c>
      <c r="G180" s="127"/>
      <c r="H180" s="144"/>
      <c r="I180" s="148"/>
      <c r="J180" s="277" t="s">
        <v>369</v>
      </c>
      <c r="K180" s="280" t="s">
        <v>322</v>
      </c>
      <c r="L180" s="118" t="s">
        <v>219</v>
      </c>
      <c r="M180" s="287" t="s">
        <v>210</v>
      </c>
      <c r="N180" s="287"/>
      <c r="O180" s="123" t="s">
        <v>198</v>
      </c>
      <c r="P180" s="124"/>
      <c r="Q180" s="125" t="s">
        <v>50</v>
      </c>
      <c r="R180" s="124"/>
      <c r="S180" s="123" t="s">
        <v>198</v>
      </c>
      <c r="T180" s="124"/>
      <c r="U180" s="125" t="s">
        <v>50</v>
      </c>
      <c r="V180" s="124"/>
    </row>
    <row r="181" spans="2:22" ht="69" hidden="1" customHeight="1" outlineLevel="6">
      <c r="B181" s="126"/>
      <c r="C181" s="126"/>
      <c r="D181" s="126"/>
      <c r="E181" s="126"/>
      <c r="F181" s="116" t="s">
        <v>199</v>
      </c>
      <c r="G181" s="127"/>
      <c r="H181" s="144"/>
      <c r="I181" s="148"/>
      <c r="J181" s="278"/>
      <c r="K181" s="281"/>
      <c r="L181" s="118" t="s">
        <v>219</v>
      </c>
      <c r="M181" s="287" t="s">
        <v>210</v>
      </c>
      <c r="N181" s="287"/>
      <c r="O181" s="123" t="s">
        <v>198</v>
      </c>
      <c r="P181" s="124"/>
      <c r="Q181" s="125" t="s">
        <v>50</v>
      </c>
      <c r="R181" s="124"/>
      <c r="S181" s="123" t="s">
        <v>198</v>
      </c>
      <c r="T181" s="124"/>
      <c r="U181" s="125" t="s">
        <v>50</v>
      </c>
      <c r="V181" s="124"/>
    </row>
    <row r="182" spans="2:22" ht="57.75" hidden="1" customHeight="1" outlineLevel="6">
      <c r="B182" s="126"/>
      <c r="C182" s="126"/>
      <c r="D182" s="126"/>
      <c r="E182" s="126"/>
      <c r="F182" s="116" t="s">
        <v>199</v>
      </c>
      <c r="G182" s="127"/>
      <c r="H182" s="144"/>
      <c r="I182" s="148"/>
      <c r="J182" s="278"/>
      <c r="K182" s="281"/>
      <c r="L182" s="128" t="s">
        <v>290</v>
      </c>
      <c r="M182" s="288" t="s">
        <v>211</v>
      </c>
      <c r="N182" s="288"/>
      <c r="O182" s="123" t="s">
        <v>198</v>
      </c>
      <c r="P182" s="124"/>
      <c r="Q182" s="125" t="s">
        <v>50</v>
      </c>
      <c r="R182" s="124"/>
      <c r="S182" s="123" t="s">
        <v>198</v>
      </c>
      <c r="T182" s="124"/>
      <c r="U182" s="125" t="s">
        <v>50</v>
      </c>
      <c r="V182" s="124"/>
    </row>
    <row r="183" spans="2:22" ht="57.75" hidden="1" customHeight="1" outlineLevel="6">
      <c r="B183" s="126"/>
      <c r="C183" s="126"/>
      <c r="D183" s="126"/>
      <c r="E183" s="126"/>
      <c r="F183" s="116" t="s">
        <v>199</v>
      </c>
      <c r="G183" s="127"/>
      <c r="H183" s="144"/>
      <c r="I183" s="148"/>
      <c r="J183" s="279"/>
      <c r="K183" s="282"/>
      <c r="L183" s="118" t="s">
        <v>206</v>
      </c>
      <c r="M183" s="287" t="s">
        <v>207</v>
      </c>
      <c r="N183" s="287"/>
      <c r="O183" s="123" t="s">
        <v>198</v>
      </c>
      <c r="P183" s="124"/>
      <c r="Q183" s="125" t="s">
        <v>50</v>
      </c>
      <c r="R183" s="124"/>
      <c r="S183" s="123" t="s">
        <v>198</v>
      </c>
      <c r="T183" s="124"/>
      <c r="U183" s="125" t="s">
        <v>50</v>
      </c>
      <c r="V183" s="124"/>
    </row>
    <row r="184" spans="2:22" s="147" customFormat="1" ht="47.25" hidden="1" customHeight="1" outlineLevel="4">
      <c r="B184" s="141" t="s">
        <v>370</v>
      </c>
      <c r="C184" s="141"/>
      <c r="D184" s="141"/>
      <c r="E184" s="141"/>
      <c r="F184" s="142" t="s">
        <v>231</v>
      </c>
      <c r="G184" s="143" t="s">
        <v>371</v>
      </c>
      <c r="H184" s="144" t="s">
        <v>216</v>
      </c>
      <c r="I184" s="119" t="s">
        <v>195</v>
      </c>
      <c r="J184" s="153"/>
      <c r="K184" s="143"/>
      <c r="L184" s="143"/>
      <c r="M184" s="268"/>
      <c r="N184" s="268"/>
      <c r="O184" s="123" t="s">
        <v>198</v>
      </c>
      <c r="P184" s="124"/>
      <c r="Q184" s="125" t="s">
        <v>50</v>
      </c>
      <c r="R184" s="124"/>
      <c r="S184" s="123" t="s">
        <v>198</v>
      </c>
      <c r="T184" s="124"/>
      <c r="U184" s="125" t="s">
        <v>50</v>
      </c>
      <c r="V184" s="124"/>
    </row>
    <row r="185" spans="2:22" ht="69" hidden="1" customHeight="1" outlineLevel="5">
      <c r="B185" s="126"/>
      <c r="C185" s="126"/>
      <c r="D185" s="126"/>
      <c r="E185" s="126"/>
      <c r="F185" s="116" t="s">
        <v>199</v>
      </c>
      <c r="G185" s="127"/>
      <c r="H185" s="144"/>
      <c r="I185" s="148"/>
      <c r="J185" s="277" t="s">
        <v>365</v>
      </c>
      <c r="K185" s="280" t="s">
        <v>372</v>
      </c>
      <c r="L185" s="118" t="s">
        <v>219</v>
      </c>
      <c r="M185" s="287" t="s">
        <v>240</v>
      </c>
      <c r="N185" s="287"/>
      <c r="O185" s="123" t="s">
        <v>198</v>
      </c>
      <c r="P185" s="124"/>
      <c r="Q185" s="125" t="s">
        <v>50</v>
      </c>
      <c r="R185" s="124"/>
      <c r="S185" s="123" t="s">
        <v>198</v>
      </c>
      <c r="T185" s="124"/>
      <c r="U185" s="125" t="s">
        <v>50</v>
      </c>
      <c r="V185" s="124"/>
    </row>
    <row r="186" spans="2:22" ht="57.75" hidden="1" customHeight="1" outlineLevel="5">
      <c r="B186" s="126"/>
      <c r="C186" s="126"/>
      <c r="D186" s="126"/>
      <c r="E186" s="126"/>
      <c r="F186" s="116" t="s">
        <v>199</v>
      </c>
      <c r="G186" s="127"/>
      <c r="H186" s="144"/>
      <c r="I186" s="148"/>
      <c r="J186" s="278"/>
      <c r="K186" s="281"/>
      <c r="L186" s="128" t="s">
        <v>290</v>
      </c>
      <c r="M186" s="288" t="s">
        <v>211</v>
      </c>
      <c r="N186" s="288"/>
      <c r="O186" s="123" t="s">
        <v>198</v>
      </c>
      <c r="P186" s="124"/>
      <c r="Q186" s="125" t="s">
        <v>50</v>
      </c>
      <c r="R186" s="124"/>
      <c r="S186" s="123" t="s">
        <v>198</v>
      </c>
      <c r="T186" s="124"/>
      <c r="U186" s="125" t="s">
        <v>50</v>
      </c>
      <c r="V186" s="124"/>
    </row>
    <row r="187" spans="2:22" ht="57.75" hidden="1" customHeight="1" outlineLevel="5">
      <c r="B187" s="126"/>
      <c r="C187" s="126"/>
      <c r="D187" s="126"/>
      <c r="E187" s="126"/>
      <c r="F187" s="116" t="s">
        <v>199</v>
      </c>
      <c r="G187" s="127"/>
      <c r="H187" s="144"/>
      <c r="I187" s="148"/>
      <c r="J187" s="279"/>
      <c r="K187" s="282"/>
      <c r="L187" s="118" t="s">
        <v>206</v>
      </c>
      <c r="M187" s="287" t="s">
        <v>207</v>
      </c>
      <c r="N187" s="287"/>
      <c r="O187" s="123" t="s">
        <v>198</v>
      </c>
      <c r="P187" s="124"/>
      <c r="Q187" s="125" t="s">
        <v>50</v>
      </c>
      <c r="R187" s="124"/>
      <c r="S187" s="123" t="s">
        <v>198</v>
      </c>
      <c r="T187" s="124"/>
      <c r="U187" s="125" t="s">
        <v>50</v>
      </c>
      <c r="V187" s="124"/>
    </row>
    <row r="188" spans="2:22" s="147" customFormat="1" ht="47.25" hidden="1" customHeight="1" outlineLevel="4">
      <c r="B188" s="141" t="s">
        <v>373</v>
      </c>
      <c r="C188" s="141"/>
      <c r="D188" s="141"/>
      <c r="E188" s="141"/>
      <c r="F188" s="142" t="s">
        <v>231</v>
      </c>
      <c r="G188" s="143" t="s">
        <v>374</v>
      </c>
      <c r="H188" s="144" t="s">
        <v>216</v>
      </c>
      <c r="I188" s="119" t="s">
        <v>195</v>
      </c>
      <c r="J188" s="153"/>
      <c r="K188" s="143"/>
      <c r="L188" s="143"/>
      <c r="M188" s="268"/>
      <c r="N188" s="268"/>
      <c r="O188" s="123" t="s">
        <v>198</v>
      </c>
      <c r="P188" s="124"/>
      <c r="Q188" s="125" t="s">
        <v>50</v>
      </c>
      <c r="R188" s="124"/>
      <c r="S188" s="123" t="s">
        <v>198</v>
      </c>
      <c r="T188" s="124"/>
      <c r="U188" s="125" t="s">
        <v>50</v>
      </c>
      <c r="V188" s="124"/>
    </row>
    <row r="189" spans="2:22" ht="69" hidden="1" customHeight="1" outlineLevel="6">
      <c r="B189" s="126"/>
      <c r="C189" s="126"/>
      <c r="D189" s="126"/>
      <c r="E189" s="126"/>
      <c r="F189" s="116" t="s">
        <v>199</v>
      </c>
      <c r="G189" s="127"/>
      <c r="H189" s="144"/>
      <c r="I189" s="148"/>
      <c r="J189" s="277" t="s">
        <v>365</v>
      </c>
      <c r="K189" s="280" t="s">
        <v>375</v>
      </c>
      <c r="L189" s="118" t="s">
        <v>219</v>
      </c>
      <c r="M189" s="287" t="s">
        <v>210</v>
      </c>
      <c r="N189" s="287"/>
      <c r="O189" s="123" t="s">
        <v>198</v>
      </c>
      <c r="P189" s="124"/>
      <c r="Q189" s="125" t="s">
        <v>50</v>
      </c>
      <c r="R189" s="124"/>
      <c r="S189" s="123" t="s">
        <v>198</v>
      </c>
      <c r="T189" s="124"/>
      <c r="U189" s="125" t="s">
        <v>50</v>
      </c>
      <c r="V189" s="124"/>
    </row>
    <row r="190" spans="2:22" ht="57.75" hidden="1" customHeight="1" outlineLevel="6">
      <c r="B190" s="126"/>
      <c r="C190" s="126"/>
      <c r="D190" s="126"/>
      <c r="E190" s="126"/>
      <c r="F190" s="116" t="s">
        <v>199</v>
      </c>
      <c r="G190" s="127"/>
      <c r="H190" s="144"/>
      <c r="I190" s="148"/>
      <c r="J190" s="278"/>
      <c r="K190" s="281"/>
      <c r="L190" s="128" t="s">
        <v>290</v>
      </c>
      <c r="M190" s="288" t="s">
        <v>211</v>
      </c>
      <c r="N190" s="288"/>
      <c r="O190" s="123" t="s">
        <v>198</v>
      </c>
      <c r="P190" s="124"/>
      <c r="Q190" s="125" t="s">
        <v>50</v>
      </c>
      <c r="R190" s="124"/>
      <c r="S190" s="123" t="s">
        <v>198</v>
      </c>
      <c r="T190" s="124"/>
      <c r="U190" s="125" t="s">
        <v>50</v>
      </c>
      <c r="V190" s="124"/>
    </row>
    <row r="191" spans="2:22" ht="57.75" hidden="1" customHeight="1" outlineLevel="6">
      <c r="B191" s="126"/>
      <c r="C191" s="126"/>
      <c r="D191" s="126"/>
      <c r="E191" s="126"/>
      <c r="F191" s="116" t="s">
        <v>199</v>
      </c>
      <c r="G191" s="127"/>
      <c r="H191" s="144"/>
      <c r="I191" s="148"/>
      <c r="J191" s="279"/>
      <c r="K191" s="282"/>
      <c r="L191" s="118" t="s">
        <v>206</v>
      </c>
      <c r="M191" s="287" t="s">
        <v>376</v>
      </c>
      <c r="N191" s="287"/>
      <c r="O191" s="123" t="s">
        <v>198</v>
      </c>
      <c r="P191" s="124"/>
      <c r="Q191" s="125" t="s">
        <v>50</v>
      </c>
      <c r="R191" s="124"/>
      <c r="S191" s="123" t="s">
        <v>198</v>
      </c>
      <c r="T191" s="124"/>
      <c r="U191" s="125" t="s">
        <v>50</v>
      </c>
      <c r="V191" s="124"/>
    </row>
    <row r="192" spans="2:22" s="147" customFormat="1" ht="47.25" hidden="1" customHeight="1" outlineLevel="4">
      <c r="B192" s="141" t="s">
        <v>377</v>
      </c>
      <c r="C192" s="141"/>
      <c r="D192" s="141"/>
      <c r="E192" s="141"/>
      <c r="F192" s="142" t="s">
        <v>231</v>
      </c>
      <c r="G192" s="143" t="s">
        <v>378</v>
      </c>
      <c r="H192" s="144" t="s">
        <v>216</v>
      </c>
      <c r="I192" s="119" t="s">
        <v>195</v>
      </c>
      <c r="J192" s="153"/>
      <c r="K192" s="143"/>
      <c r="L192" s="143"/>
      <c r="M192" s="268"/>
      <c r="N192" s="268"/>
      <c r="O192" s="123" t="s">
        <v>198</v>
      </c>
      <c r="P192" s="124"/>
      <c r="Q192" s="125" t="s">
        <v>50</v>
      </c>
      <c r="R192" s="124"/>
      <c r="S192" s="123" t="s">
        <v>198</v>
      </c>
      <c r="T192" s="124"/>
      <c r="U192" s="125" t="s">
        <v>50</v>
      </c>
      <c r="V192" s="124"/>
    </row>
    <row r="193" spans="2:22" ht="69" hidden="1" customHeight="1" outlineLevel="6">
      <c r="B193" s="126"/>
      <c r="C193" s="126"/>
      <c r="D193" s="126"/>
      <c r="E193" s="126"/>
      <c r="F193" s="116" t="s">
        <v>199</v>
      </c>
      <c r="G193" s="127"/>
      <c r="H193" s="144"/>
      <c r="I193" s="148"/>
      <c r="J193" s="277" t="s">
        <v>365</v>
      </c>
      <c r="K193" s="280" t="s">
        <v>379</v>
      </c>
      <c r="L193" s="118" t="s">
        <v>219</v>
      </c>
      <c r="M193" s="287" t="s">
        <v>240</v>
      </c>
      <c r="N193" s="287"/>
      <c r="O193" s="123" t="s">
        <v>198</v>
      </c>
      <c r="P193" s="124"/>
      <c r="Q193" s="125" t="s">
        <v>50</v>
      </c>
      <c r="R193" s="124"/>
      <c r="S193" s="123" t="s">
        <v>198</v>
      </c>
      <c r="T193" s="124"/>
      <c r="U193" s="125" t="s">
        <v>50</v>
      </c>
      <c r="V193" s="124"/>
    </row>
    <row r="194" spans="2:22" ht="57.75" hidden="1" customHeight="1" outlineLevel="6">
      <c r="B194" s="126"/>
      <c r="C194" s="126"/>
      <c r="D194" s="126"/>
      <c r="E194" s="126"/>
      <c r="F194" s="116" t="s">
        <v>199</v>
      </c>
      <c r="G194" s="127"/>
      <c r="H194" s="144"/>
      <c r="I194" s="148"/>
      <c r="J194" s="278"/>
      <c r="K194" s="281"/>
      <c r="L194" s="128" t="s">
        <v>290</v>
      </c>
      <c r="M194" s="288" t="s">
        <v>211</v>
      </c>
      <c r="N194" s="288"/>
      <c r="O194" s="123" t="s">
        <v>198</v>
      </c>
      <c r="P194" s="124"/>
      <c r="Q194" s="125" t="s">
        <v>50</v>
      </c>
      <c r="R194" s="124"/>
      <c r="S194" s="123" t="s">
        <v>198</v>
      </c>
      <c r="T194" s="124"/>
      <c r="U194" s="125" t="s">
        <v>50</v>
      </c>
      <c r="V194" s="124"/>
    </row>
    <row r="195" spans="2:22" ht="57.75" hidden="1" customHeight="1" outlineLevel="6">
      <c r="B195" s="126"/>
      <c r="C195" s="126"/>
      <c r="D195" s="126"/>
      <c r="E195" s="126"/>
      <c r="F195" s="116" t="s">
        <v>199</v>
      </c>
      <c r="G195" s="127"/>
      <c r="H195" s="144"/>
      <c r="I195" s="148"/>
      <c r="J195" s="279"/>
      <c r="K195" s="282"/>
      <c r="L195" s="118" t="s">
        <v>206</v>
      </c>
      <c r="M195" s="287" t="s">
        <v>207</v>
      </c>
      <c r="N195" s="287"/>
      <c r="O195" s="123" t="s">
        <v>198</v>
      </c>
      <c r="P195" s="124"/>
      <c r="Q195" s="125" t="s">
        <v>50</v>
      </c>
      <c r="R195" s="124"/>
      <c r="S195" s="123" t="s">
        <v>198</v>
      </c>
      <c r="T195" s="124"/>
      <c r="U195" s="125" t="s">
        <v>50</v>
      </c>
      <c r="V195" s="124"/>
    </row>
    <row r="196" spans="2:22" s="147" customFormat="1" ht="47.25" hidden="1" customHeight="1" outlineLevel="4">
      <c r="B196" s="154" t="s">
        <v>380</v>
      </c>
      <c r="C196" s="154"/>
      <c r="D196" s="154"/>
      <c r="E196" s="154"/>
      <c r="F196" s="155" t="s">
        <v>231</v>
      </c>
      <c r="G196" s="156" t="s">
        <v>381</v>
      </c>
      <c r="H196" s="144" t="s">
        <v>216</v>
      </c>
      <c r="I196" s="119" t="s">
        <v>195</v>
      </c>
      <c r="J196" s="153"/>
      <c r="K196" s="143"/>
      <c r="L196" s="143"/>
      <c r="M196" s="268"/>
      <c r="N196" s="268"/>
      <c r="O196" s="123" t="s">
        <v>198</v>
      </c>
      <c r="P196" s="124"/>
      <c r="Q196" s="125" t="s">
        <v>50</v>
      </c>
      <c r="R196" s="124"/>
      <c r="S196" s="123" t="s">
        <v>198</v>
      </c>
      <c r="T196" s="124"/>
      <c r="U196" s="125" t="s">
        <v>50</v>
      </c>
      <c r="V196" s="124"/>
    </row>
    <row r="197" spans="2:22" ht="69" hidden="1" customHeight="1" outlineLevel="6">
      <c r="B197" s="126"/>
      <c r="C197" s="126"/>
      <c r="D197" s="126"/>
      <c r="E197" s="126"/>
      <c r="F197" s="116" t="s">
        <v>199</v>
      </c>
      <c r="G197" s="127"/>
      <c r="H197" s="144"/>
      <c r="I197" s="148"/>
      <c r="J197" s="277" t="s">
        <v>365</v>
      </c>
      <c r="K197" s="280" t="s">
        <v>382</v>
      </c>
      <c r="L197" s="118" t="s">
        <v>219</v>
      </c>
      <c r="M197" s="287" t="s">
        <v>240</v>
      </c>
      <c r="N197" s="287"/>
      <c r="O197" s="123" t="s">
        <v>198</v>
      </c>
      <c r="P197" s="124"/>
      <c r="Q197" s="125" t="s">
        <v>50</v>
      </c>
      <c r="R197" s="124"/>
      <c r="S197" s="123" t="s">
        <v>198</v>
      </c>
      <c r="T197" s="124"/>
      <c r="U197" s="125" t="s">
        <v>50</v>
      </c>
      <c r="V197" s="124"/>
    </row>
    <row r="198" spans="2:22" ht="57.75" hidden="1" customHeight="1" outlineLevel="6">
      <c r="B198" s="126"/>
      <c r="C198" s="126"/>
      <c r="D198" s="126"/>
      <c r="E198" s="126"/>
      <c r="F198" s="116" t="s">
        <v>199</v>
      </c>
      <c r="G198" s="127"/>
      <c r="H198" s="144"/>
      <c r="I198" s="148"/>
      <c r="J198" s="278"/>
      <c r="K198" s="281"/>
      <c r="L198" s="128" t="s">
        <v>290</v>
      </c>
      <c r="M198" s="288" t="s">
        <v>211</v>
      </c>
      <c r="N198" s="288"/>
      <c r="O198" s="123" t="s">
        <v>198</v>
      </c>
      <c r="P198" s="124"/>
      <c r="Q198" s="125" t="s">
        <v>50</v>
      </c>
      <c r="R198" s="124"/>
      <c r="S198" s="123" t="s">
        <v>198</v>
      </c>
      <c r="T198" s="124"/>
      <c r="U198" s="125" t="s">
        <v>50</v>
      </c>
      <c r="V198" s="124"/>
    </row>
    <row r="199" spans="2:22" ht="57.75" hidden="1" customHeight="1" outlineLevel="6">
      <c r="B199" s="126"/>
      <c r="C199" s="126"/>
      <c r="D199" s="126"/>
      <c r="E199" s="126"/>
      <c r="F199" s="116" t="s">
        <v>199</v>
      </c>
      <c r="G199" s="127"/>
      <c r="H199" s="144"/>
      <c r="I199" s="148"/>
      <c r="J199" s="279"/>
      <c r="K199" s="282"/>
      <c r="L199" s="118" t="s">
        <v>206</v>
      </c>
      <c r="M199" s="287" t="s">
        <v>207</v>
      </c>
      <c r="N199" s="287"/>
      <c r="O199" s="123" t="s">
        <v>198</v>
      </c>
      <c r="P199" s="124"/>
      <c r="Q199" s="125" t="s">
        <v>50</v>
      </c>
      <c r="R199" s="124"/>
      <c r="S199" s="123" t="s">
        <v>198</v>
      </c>
      <c r="T199" s="124"/>
      <c r="U199" s="125" t="s">
        <v>50</v>
      </c>
      <c r="V199" s="124"/>
    </row>
    <row r="200" spans="2:22" s="147" customFormat="1" ht="47.25" hidden="1" customHeight="1" outlineLevel="4">
      <c r="B200" s="154" t="s">
        <v>383</v>
      </c>
      <c r="C200" s="154"/>
      <c r="D200" s="154"/>
      <c r="E200" s="154"/>
      <c r="F200" s="155" t="s">
        <v>231</v>
      </c>
      <c r="G200" s="156" t="s">
        <v>384</v>
      </c>
      <c r="H200" s="144" t="s">
        <v>216</v>
      </c>
      <c r="I200" s="119" t="s">
        <v>195</v>
      </c>
      <c r="J200" s="153"/>
      <c r="K200" s="143"/>
      <c r="L200" s="143"/>
      <c r="M200" s="266"/>
      <c r="N200" s="267"/>
      <c r="O200" s="123" t="s">
        <v>198</v>
      </c>
      <c r="P200" s="124"/>
      <c r="Q200" s="125" t="s">
        <v>50</v>
      </c>
      <c r="R200" s="124"/>
      <c r="S200" s="123" t="s">
        <v>198</v>
      </c>
      <c r="T200" s="124"/>
      <c r="U200" s="125" t="s">
        <v>50</v>
      </c>
      <c r="V200" s="124"/>
    </row>
    <row r="201" spans="2:22" ht="69" hidden="1" customHeight="1" outlineLevel="6">
      <c r="B201" s="126"/>
      <c r="C201" s="126"/>
      <c r="D201" s="126"/>
      <c r="E201" s="126"/>
      <c r="F201" s="116" t="s">
        <v>199</v>
      </c>
      <c r="G201" s="127"/>
      <c r="H201" s="144"/>
      <c r="I201" s="148"/>
      <c r="J201" s="277" t="s">
        <v>365</v>
      </c>
      <c r="K201" s="280" t="s">
        <v>385</v>
      </c>
      <c r="L201" s="118" t="s">
        <v>219</v>
      </c>
      <c r="M201" s="283" t="s">
        <v>240</v>
      </c>
      <c r="N201" s="284"/>
      <c r="O201" s="123" t="s">
        <v>198</v>
      </c>
      <c r="P201" s="124"/>
      <c r="Q201" s="125" t="s">
        <v>50</v>
      </c>
      <c r="R201" s="124"/>
      <c r="S201" s="123" t="s">
        <v>198</v>
      </c>
      <c r="T201" s="124"/>
      <c r="U201" s="125" t="s">
        <v>50</v>
      </c>
      <c r="V201" s="124"/>
    </row>
    <row r="202" spans="2:22" ht="57.75" hidden="1" customHeight="1" outlineLevel="6">
      <c r="B202" s="126"/>
      <c r="C202" s="126"/>
      <c r="D202" s="126"/>
      <c r="E202" s="126"/>
      <c r="F202" s="116" t="s">
        <v>199</v>
      </c>
      <c r="G202" s="127"/>
      <c r="H202" s="144"/>
      <c r="I202" s="148"/>
      <c r="J202" s="278"/>
      <c r="K202" s="281"/>
      <c r="L202" s="128" t="s">
        <v>290</v>
      </c>
      <c r="M202" s="285" t="s">
        <v>211</v>
      </c>
      <c r="N202" s="286"/>
      <c r="O202" s="123" t="s">
        <v>198</v>
      </c>
      <c r="P202" s="124"/>
      <c r="Q202" s="125" t="s">
        <v>50</v>
      </c>
      <c r="R202" s="124"/>
      <c r="S202" s="123" t="s">
        <v>198</v>
      </c>
      <c r="T202" s="124"/>
      <c r="U202" s="125" t="s">
        <v>50</v>
      </c>
      <c r="V202" s="124"/>
    </row>
    <row r="203" spans="2:22" ht="57.75" hidden="1" customHeight="1" outlineLevel="6">
      <c r="B203" s="126"/>
      <c r="C203" s="126"/>
      <c r="D203" s="126"/>
      <c r="E203" s="126"/>
      <c r="F203" s="116" t="s">
        <v>199</v>
      </c>
      <c r="G203" s="127"/>
      <c r="H203" s="144"/>
      <c r="I203" s="148"/>
      <c r="J203" s="279"/>
      <c r="K203" s="282"/>
      <c r="L203" s="118" t="s">
        <v>206</v>
      </c>
      <c r="M203" s="283" t="s">
        <v>207</v>
      </c>
      <c r="N203" s="284"/>
      <c r="O203" s="123" t="s">
        <v>198</v>
      </c>
      <c r="P203" s="124"/>
      <c r="Q203" s="125" t="s">
        <v>50</v>
      </c>
      <c r="R203" s="124"/>
      <c r="S203" s="123" t="s">
        <v>198</v>
      </c>
      <c r="T203" s="124"/>
      <c r="U203" s="125" t="s">
        <v>50</v>
      </c>
      <c r="V203" s="124"/>
    </row>
    <row r="204" spans="2:22" s="147" customFormat="1" ht="47.25" hidden="1" customHeight="1" outlineLevel="4">
      <c r="B204" s="154" t="s">
        <v>386</v>
      </c>
      <c r="C204" s="154"/>
      <c r="D204" s="154"/>
      <c r="E204" s="154"/>
      <c r="F204" s="155" t="s">
        <v>231</v>
      </c>
      <c r="G204" s="156" t="s">
        <v>387</v>
      </c>
      <c r="H204" s="144" t="s">
        <v>216</v>
      </c>
      <c r="I204" s="119" t="s">
        <v>195</v>
      </c>
      <c r="J204" s="153"/>
      <c r="K204" s="143"/>
      <c r="L204" s="143"/>
      <c r="M204" s="266"/>
      <c r="N204" s="267"/>
      <c r="O204" s="123" t="s">
        <v>198</v>
      </c>
      <c r="P204" s="124"/>
      <c r="Q204" s="125" t="s">
        <v>50</v>
      </c>
      <c r="R204" s="124"/>
      <c r="S204" s="123" t="s">
        <v>198</v>
      </c>
      <c r="T204" s="124"/>
      <c r="U204" s="125" t="s">
        <v>50</v>
      </c>
      <c r="V204" s="124"/>
    </row>
    <row r="205" spans="2:22" ht="69" hidden="1" customHeight="1" outlineLevel="6">
      <c r="B205" s="126"/>
      <c r="C205" s="126"/>
      <c r="D205" s="126"/>
      <c r="E205" s="126"/>
      <c r="F205" s="116" t="s">
        <v>199</v>
      </c>
      <c r="G205" s="127"/>
      <c r="H205" s="119"/>
      <c r="I205" s="148"/>
      <c r="J205" s="277" t="s">
        <v>365</v>
      </c>
      <c r="K205" s="280" t="s">
        <v>388</v>
      </c>
      <c r="L205" s="118" t="s">
        <v>219</v>
      </c>
      <c r="M205" s="283" t="s">
        <v>240</v>
      </c>
      <c r="N205" s="284"/>
      <c r="O205" s="123" t="s">
        <v>198</v>
      </c>
      <c r="P205" s="124"/>
      <c r="Q205" s="125" t="s">
        <v>50</v>
      </c>
      <c r="R205" s="124"/>
      <c r="S205" s="123" t="s">
        <v>198</v>
      </c>
      <c r="T205" s="124"/>
      <c r="U205" s="125" t="s">
        <v>50</v>
      </c>
      <c r="V205" s="124"/>
    </row>
    <row r="206" spans="2:22" ht="57.75" hidden="1" customHeight="1" outlineLevel="6">
      <c r="B206" s="126"/>
      <c r="C206" s="126"/>
      <c r="D206" s="126"/>
      <c r="E206" s="126"/>
      <c r="F206" s="116" t="s">
        <v>199</v>
      </c>
      <c r="G206" s="127"/>
      <c r="H206" s="119"/>
      <c r="I206" s="148"/>
      <c r="J206" s="278"/>
      <c r="K206" s="281"/>
      <c r="L206" s="128" t="s">
        <v>290</v>
      </c>
      <c r="M206" s="285" t="s">
        <v>211</v>
      </c>
      <c r="N206" s="286"/>
      <c r="O206" s="123" t="s">
        <v>198</v>
      </c>
      <c r="P206" s="124"/>
      <c r="Q206" s="125" t="s">
        <v>50</v>
      </c>
      <c r="R206" s="124"/>
      <c r="S206" s="123" t="s">
        <v>198</v>
      </c>
      <c r="T206" s="124"/>
      <c r="U206" s="125" t="s">
        <v>50</v>
      </c>
      <c r="V206" s="124"/>
    </row>
    <row r="207" spans="2:22" ht="57.75" hidden="1" customHeight="1" outlineLevel="6">
      <c r="B207" s="126"/>
      <c r="C207" s="126"/>
      <c r="D207" s="126"/>
      <c r="E207" s="126"/>
      <c r="F207" s="116" t="s">
        <v>199</v>
      </c>
      <c r="G207" s="127"/>
      <c r="H207" s="119"/>
      <c r="I207" s="148"/>
      <c r="J207" s="279"/>
      <c r="K207" s="282"/>
      <c r="L207" s="118" t="s">
        <v>206</v>
      </c>
      <c r="M207" s="283" t="s">
        <v>207</v>
      </c>
      <c r="N207" s="284"/>
      <c r="O207" s="123" t="s">
        <v>198</v>
      </c>
      <c r="P207" s="124"/>
      <c r="Q207" s="125" t="s">
        <v>50</v>
      </c>
      <c r="R207" s="124"/>
      <c r="S207" s="123" t="s">
        <v>198</v>
      </c>
      <c r="T207" s="124"/>
      <c r="U207" s="125" t="s">
        <v>50</v>
      </c>
      <c r="V207" s="124"/>
    </row>
    <row r="208" spans="2:22" ht="24" customHeight="1" outlineLevel="1" collapsed="1">
      <c r="B208" s="275" t="s">
        <v>389</v>
      </c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6"/>
      <c r="O208" s="115"/>
      <c r="P208" s="115"/>
      <c r="Q208" s="115"/>
      <c r="R208" s="115"/>
      <c r="S208" s="115"/>
      <c r="T208" s="115"/>
      <c r="U208" s="115"/>
      <c r="V208" s="115"/>
    </row>
    <row r="209" spans="2:22" s="147" customFormat="1" ht="50.1" hidden="1" customHeight="1" outlineLevel="4">
      <c r="B209" s="141" t="s">
        <v>390</v>
      </c>
      <c r="C209" s="141"/>
      <c r="D209" s="141"/>
      <c r="E209" s="141"/>
      <c r="F209" s="142" t="s">
        <v>231</v>
      </c>
      <c r="G209" s="143" t="s">
        <v>391</v>
      </c>
      <c r="H209" s="144" t="s">
        <v>194</v>
      </c>
      <c r="I209" s="119" t="s">
        <v>195</v>
      </c>
      <c r="J209" s="153" t="s">
        <v>392</v>
      </c>
      <c r="K209" s="143"/>
      <c r="L209" s="143"/>
      <c r="M209" s="268"/>
      <c r="N209" s="268"/>
      <c r="O209" s="123" t="s">
        <v>198</v>
      </c>
      <c r="P209" s="150"/>
      <c r="Q209" s="158" t="s">
        <v>50</v>
      </c>
      <c r="R209" s="150"/>
      <c r="S209" s="123" t="s">
        <v>198</v>
      </c>
      <c r="T209" s="150"/>
      <c r="U209" s="158" t="s">
        <v>50</v>
      </c>
      <c r="V209" s="150"/>
    </row>
    <row r="210" spans="2:22" ht="50.1" hidden="1" customHeight="1" outlineLevel="6">
      <c r="B210" s="126"/>
      <c r="C210" s="126"/>
      <c r="D210" s="126"/>
      <c r="E210" s="126"/>
      <c r="F210" s="116" t="s">
        <v>199</v>
      </c>
      <c r="G210" s="127"/>
      <c r="H210" s="144"/>
      <c r="I210" s="148"/>
      <c r="J210" s="277" t="s">
        <v>393</v>
      </c>
      <c r="K210" s="280" t="s">
        <v>394</v>
      </c>
      <c r="L210" s="118" t="s">
        <v>219</v>
      </c>
      <c r="M210" s="287" t="s">
        <v>210</v>
      </c>
      <c r="N210" s="287"/>
      <c r="O210" s="123" t="s">
        <v>198</v>
      </c>
      <c r="P210" s="159"/>
      <c r="Q210" s="160" t="s">
        <v>50</v>
      </c>
      <c r="R210" s="159"/>
      <c r="S210" s="123" t="s">
        <v>198</v>
      </c>
      <c r="T210" s="159"/>
      <c r="U210" s="160" t="s">
        <v>50</v>
      </c>
      <c r="V210" s="159"/>
    </row>
    <row r="211" spans="2:22" ht="50.1" hidden="1" customHeight="1" outlineLevel="6">
      <c r="B211" s="126"/>
      <c r="C211" s="126"/>
      <c r="D211" s="126"/>
      <c r="E211" s="126"/>
      <c r="F211" s="116" t="s">
        <v>199</v>
      </c>
      <c r="G211" s="127"/>
      <c r="H211" s="144"/>
      <c r="I211" s="148"/>
      <c r="J211" s="278"/>
      <c r="K211" s="281"/>
      <c r="L211" s="128" t="s">
        <v>204</v>
      </c>
      <c r="M211" s="288" t="s">
        <v>211</v>
      </c>
      <c r="N211" s="288"/>
      <c r="O211" s="123" t="s">
        <v>198</v>
      </c>
      <c r="P211" s="159"/>
      <c r="Q211" s="160" t="s">
        <v>50</v>
      </c>
      <c r="R211" s="159"/>
      <c r="S211" s="123" t="s">
        <v>198</v>
      </c>
      <c r="T211" s="159"/>
      <c r="U211" s="160" t="s">
        <v>50</v>
      </c>
      <c r="V211" s="159"/>
    </row>
    <row r="212" spans="2:22" ht="81.75" hidden="1" customHeight="1" outlineLevel="6">
      <c r="B212" s="126"/>
      <c r="C212" s="126"/>
      <c r="D212" s="126"/>
      <c r="E212" s="126"/>
      <c r="F212" s="116" t="s">
        <v>199</v>
      </c>
      <c r="G212" s="127"/>
      <c r="H212" s="144"/>
      <c r="I212" s="148"/>
      <c r="J212" s="279"/>
      <c r="K212" s="282"/>
      <c r="L212" s="118" t="s">
        <v>206</v>
      </c>
      <c r="M212" s="287" t="s">
        <v>395</v>
      </c>
      <c r="N212" s="287"/>
      <c r="O212" s="123" t="s">
        <v>198</v>
      </c>
      <c r="P212" s="159"/>
      <c r="Q212" s="160" t="s">
        <v>50</v>
      </c>
      <c r="R212" s="159"/>
      <c r="S212" s="123" t="s">
        <v>198</v>
      </c>
      <c r="T212" s="159"/>
      <c r="U212" s="160" t="s">
        <v>50</v>
      </c>
      <c r="V212" s="159"/>
    </row>
    <row r="213" spans="2:22" s="147" customFormat="1" ht="50.1" hidden="1" customHeight="1" outlineLevel="4">
      <c r="B213" s="141" t="s">
        <v>396</v>
      </c>
      <c r="C213" s="141"/>
      <c r="D213" s="141"/>
      <c r="E213" s="141"/>
      <c r="F213" s="149" t="s">
        <v>214</v>
      </c>
      <c r="G213" s="143" t="s">
        <v>397</v>
      </c>
      <c r="H213" s="144" t="s">
        <v>233</v>
      </c>
      <c r="I213" s="119" t="s">
        <v>195</v>
      </c>
      <c r="J213" s="153"/>
      <c r="K213" s="143"/>
      <c r="L213" s="143"/>
      <c r="M213" s="268"/>
      <c r="N213" s="268"/>
      <c r="O213" s="123" t="s">
        <v>198</v>
      </c>
      <c r="P213" s="150"/>
      <c r="Q213" s="158" t="s">
        <v>50</v>
      </c>
      <c r="R213" s="150"/>
      <c r="S213" s="123" t="s">
        <v>198</v>
      </c>
      <c r="T213" s="150"/>
      <c r="U213" s="158" t="s">
        <v>50</v>
      </c>
      <c r="V213" s="150"/>
    </row>
    <row r="214" spans="2:22" ht="50.1" hidden="1" customHeight="1" outlineLevel="6">
      <c r="B214" s="126"/>
      <c r="C214" s="126"/>
      <c r="D214" s="126"/>
      <c r="E214" s="126"/>
      <c r="F214" s="116" t="s">
        <v>199</v>
      </c>
      <c r="G214" s="127"/>
      <c r="H214" s="144"/>
      <c r="I214" s="119"/>
      <c r="J214" s="277" t="s">
        <v>398</v>
      </c>
      <c r="K214" s="280" t="s">
        <v>399</v>
      </c>
      <c r="L214" s="118" t="s">
        <v>219</v>
      </c>
      <c r="M214" s="287" t="s">
        <v>203</v>
      </c>
      <c r="N214" s="287"/>
      <c r="O214" s="123" t="s">
        <v>198</v>
      </c>
      <c r="P214" s="159"/>
      <c r="Q214" s="160" t="s">
        <v>50</v>
      </c>
      <c r="R214" s="159"/>
      <c r="S214" s="123" t="s">
        <v>198</v>
      </c>
      <c r="T214" s="159"/>
      <c r="U214" s="160" t="s">
        <v>50</v>
      </c>
      <c r="V214" s="159"/>
    </row>
    <row r="215" spans="2:22" ht="50.1" hidden="1" customHeight="1" outlineLevel="6">
      <c r="B215" s="126"/>
      <c r="C215" s="126"/>
      <c r="D215" s="126"/>
      <c r="E215" s="126"/>
      <c r="F215" s="116" t="s">
        <v>199</v>
      </c>
      <c r="G215" s="127"/>
      <c r="H215" s="144"/>
      <c r="I215" s="119"/>
      <c r="J215" s="278"/>
      <c r="K215" s="281"/>
      <c r="L215" s="128" t="s">
        <v>290</v>
      </c>
      <c r="M215" s="288" t="s">
        <v>211</v>
      </c>
      <c r="N215" s="288"/>
      <c r="O215" s="123" t="s">
        <v>198</v>
      </c>
      <c r="P215" s="159"/>
      <c r="Q215" s="160" t="s">
        <v>50</v>
      </c>
      <c r="R215" s="159"/>
      <c r="S215" s="123" t="s">
        <v>198</v>
      </c>
      <c r="T215" s="159"/>
      <c r="U215" s="160" t="s">
        <v>50</v>
      </c>
      <c r="V215" s="159"/>
    </row>
    <row r="216" spans="2:22" ht="50.1" hidden="1" customHeight="1" outlineLevel="6">
      <c r="B216" s="126"/>
      <c r="C216" s="126"/>
      <c r="D216" s="126"/>
      <c r="E216" s="126"/>
      <c r="F216" s="116" t="s">
        <v>199</v>
      </c>
      <c r="G216" s="127"/>
      <c r="H216" s="144"/>
      <c r="I216" s="119"/>
      <c r="J216" s="279"/>
      <c r="K216" s="282"/>
      <c r="L216" s="118" t="s">
        <v>206</v>
      </c>
      <c r="M216" s="287" t="s">
        <v>395</v>
      </c>
      <c r="N216" s="287"/>
      <c r="O216" s="123" t="s">
        <v>198</v>
      </c>
      <c r="P216" s="159"/>
      <c r="Q216" s="160" t="s">
        <v>50</v>
      </c>
      <c r="R216" s="159"/>
      <c r="S216" s="123" t="s">
        <v>198</v>
      </c>
      <c r="T216" s="159"/>
      <c r="U216" s="160" t="s">
        <v>50</v>
      </c>
      <c r="V216" s="159"/>
    </row>
    <row r="217" spans="2:22" s="147" customFormat="1" ht="50.1" hidden="1" customHeight="1" outlineLevel="4">
      <c r="B217" s="141" t="s">
        <v>400</v>
      </c>
      <c r="C217" s="141"/>
      <c r="D217" s="141"/>
      <c r="E217" s="141"/>
      <c r="F217" s="149" t="s">
        <v>214</v>
      </c>
      <c r="G217" s="143" t="s">
        <v>401</v>
      </c>
      <c r="H217" s="144" t="s">
        <v>216</v>
      </c>
      <c r="I217" s="119" t="s">
        <v>195</v>
      </c>
      <c r="J217" s="153"/>
      <c r="K217" s="143"/>
      <c r="L217" s="143"/>
      <c r="M217" s="268"/>
      <c r="N217" s="268"/>
      <c r="O217" s="123" t="s">
        <v>198</v>
      </c>
      <c r="P217" s="150"/>
      <c r="Q217" s="158" t="s">
        <v>50</v>
      </c>
      <c r="R217" s="150"/>
      <c r="S217" s="123" t="s">
        <v>198</v>
      </c>
      <c r="T217" s="150"/>
      <c r="U217" s="158" t="s">
        <v>50</v>
      </c>
      <c r="V217" s="150"/>
    </row>
    <row r="218" spans="2:22" ht="50.1" hidden="1" customHeight="1" outlineLevel="6">
      <c r="B218" s="126"/>
      <c r="C218" s="126"/>
      <c r="D218" s="126"/>
      <c r="E218" s="126"/>
      <c r="F218" s="116" t="s">
        <v>199</v>
      </c>
      <c r="G218" s="127"/>
      <c r="H218" s="144"/>
      <c r="I218" s="119"/>
      <c r="J218" s="277" t="s">
        <v>398</v>
      </c>
      <c r="K218" s="280" t="s">
        <v>362</v>
      </c>
      <c r="L218" s="118" t="s">
        <v>219</v>
      </c>
      <c r="M218" s="287" t="s">
        <v>210</v>
      </c>
      <c r="N218" s="287"/>
      <c r="O218" s="123" t="s">
        <v>198</v>
      </c>
      <c r="P218" s="159"/>
      <c r="Q218" s="160" t="s">
        <v>50</v>
      </c>
      <c r="R218" s="159"/>
      <c r="S218" s="123" t="s">
        <v>198</v>
      </c>
      <c r="T218" s="159"/>
      <c r="U218" s="160" t="s">
        <v>50</v>
      </c>
      <c r="V218" s="159"/>
    </row>
    <row r="219" spans="2:22" ht="50.1" hidden="1" customHeight="1" outlineLevel="6">
      <c r="B219" s="161"/>
      <c r="C219" s="161"/>
      <c r="D219" s="161"/>
      <c r="E219" s="161"/>
      <c r="F219" s="116" t="s">
        <v>199</v>
      </c>
      <c r="G219" s="127"/>
      <c r="H219" s="144"/>
      <c r="I219" s="119"/>
      <c r="J219" s="278"/>
      <c r="K219" s="281"/>
      <c r="L219" s="128" t="s">
        <v>204</v>
      </c>
      <c r="M219" s="288" t="s">
        <v>211</v>
      </c>
      <c r="N219" s="288"/>
      <c r="O219" s="123" t="s">
        <v>198</v>
      </c>
      <c r="P219" s="159"/>
      <c r="Q219" s="160" t="s">
        <v>50</v>
      </c>
      <c r="R219" s="159"/>
      <c r="S219" s="123" t="s">
        <v>198</v>
      </c>
      <c r="T219" s="159"/>
      <c r="U219" s="160" t="s">
        <v>50</v>
      </c>
      <c r="V219" s="159"/>
    </row>
    <row r="220" spans="2:22" ht="50.1" hidden="1" customHeight="1" outlineLevel="6">
      <c r="B220" s="126"/>
      <c r="C220" s="126"/>
      <c r="D220" s="126"/>
      <c r="E220" s="126"/>
      <c r="F220" s="116" t="s">
        <v>199</v>
      </c>
      <c r="G220" s="127"/>
      <c r="H220" s="144"/>
      <c r="I220" s="119"/>
      <c r="J220" s="279"/>
      <c r="K220" s="282"/>
      <c r="L220" s="118" t="s">
        <v>206</v>
      </c>
      <c r="M220" s="287" t="s">
        <v>402</v>
      </c>
      <c r="N220" s="287"/>
      <c r="O220" s="123" t="s">
        <v>198</v>
      </c>
      <c r="P220" s="159"/>
      <c r="Q220" s="160" t="s">
        <v>50</v>
      </c>
      <c r="R220" s="159"/>
      <c r="S220" s="123" t="s">
        <v>198</v>
      </c>
      <c r="T220" s="159"/>
      <c r="U220" s="160" t="s">
        <v>50</v>
      </c>
      <c r="V220" s="159"/>
    </row>
    <row r="221" spans="2:22" s="147" customFormat="1" ht="50.1" hidden="1" customHeight="1" outlineLevel="4">
      <c r="B221" s="141" t="s">
        <v>403</v>
      </c>
      <c r="C221" s="141"/>
      <c r="D221" s="141"/>
      <c r="E221" s="141"/>
      <c r="F221" s="149" t="s">
        <v>214</v>
      </c>
      <c r="G221" s="143" t="s">
        <v>404</v>
      </c>
      <c r="H221" s="144" t="s">
        <v>216</v>
      </c>
      <c r="I221" s="119" t="s">
        <v>195</v>
      </c>
      <c r="J221" s="153"/>
      <c r="K221" s="143"/>
      <c r="L221" s="143"/>
      <c r="M221" s="268"/>
      <c r="N221" s="268"/>
      <c r="O221" s="123" t="s">
        <v>198</v>
      </c>
      <c r="P221" s="150"/>
      <c r="Q221" s="158" t="s">
        <v>50</v>
      </c>
      <c r="R221" s="150"/>
      <c r="S221" s="123" t="s">
        <v>198</v>
      </c>
      <c r="T221" s="150"/>
      <c r="U221" s="158" t="s">
        <v>50</v>
      </c>
      <c r="V221" s="150"/>
    </row>
    <row r="222" spans="2:22" ht="50.1" hidden="1" customHeight="1" outlineLevel="6">
      <c r="B222" s="126"/>
      <c r="C222" s="126"/>
      <c r="D222" s="126"/>
      <c r="E222" s="126"/>
      <c r="F222" s="116" t="s">
        <v>199</v>
      </c>
      <c r="G222" s="127"/>
      <c r="H222" s="144"/>
      <c r="I222" s="119"/>
      <c r="J222" s="277" t="s">
        <v>398</v>
      </c>
      <c r="K222" s="280" t="s">
        <v>405</v>
      </c>
      <c r="L222" s="118" t="s">
        <v>219</v>
      </c>
      <c r="M222" s="287" t="s">
        <v>210</v>
      </c>
      <c r="N222" s="287"/>
      <c r="O222" s="123" t="s">
        <v>198</v>
      </c>
      <c r="P222" s="159"/>
      <c r="Q222" s="160" t="s">
        <v>50</v>
      </c>
      <c r="R222" s="159"/>
      <c r="S222" s="123" t="s">
        <v>198</v>
      </c>
      <c r="T222" s="159"/>
      <c r="U222" s="160" t="s">
        <v>50</v>
      </c>
      <c r="V222" s="159"/>
    </row>
    <row r="223" spans="2:22" ht="50.1" hidden="1" customHeight="1" outlineLevel="6">
      <c r="B223" s="126"/>
      <c r="C223" s="126"/>
      <c r="D223" s="126"/>
      <c r="E223" s="126"/>
      <c r="F223" s="116" t="s">
        <v>199</v>
      </c>
      <c r="G223" s="127"/>
      <c r="H223" s="144"/>
      <c r="I223" s="119"/>
      <c r="J223" s="278"/>
      <c r="K223" s="281"/>
      <c r="L223" s="128" t="s">
        <v>290</v>
      </c>
      <c r="M223" s="288" t="s">
        <v>211</v>
      </c>
      <c r="N223" s="288"/>
      <c r="O223" s="123" t="s">
        <v>198</v>
      </c>
      <c r="P223" s="159"/>
      <c r="Q223" s="160" t="s">
        <v>50</v>
      </c>
      <c r="R223" s="159"/>
      <c r="S223" s="123" t="s">
        <v>198</v>
      </c>
      <c r="T223" s="159"/>
      <c r="U223" s="160" t="s">
        <v>50</v>
      </c>
      <c r="V223" s="159"/>
    </row>
    <row r="224" spans="2:22" ht="50.1" hidden="1" customHeight="1" outlineLevel="6">
      <c r="B224" s="126"/>
      <c r="C224" s="126"/>
      <c r="D224" s="126"/>
      <c r="E224" s="126"/>
      <c r="F224" s="116" t="s">
        <v>199</v>
      </c>
      <c r="G224" s="127"/>
      <c r="H224" s="144"/>
      <c r="I224" s="119"/>
      <c r="J224" s="279"/>
      <c r="K224" s="282"/>
      <c r="L224" s="118" t="s">
        <v>206</v>
      </c>
      <c r="M224" s="287" t="s">
        <v>212</v>
      </c>
      <c r="N224" s="287"/>
      <c r="O224" s="123" t="s">
        <v>198</v>
      </c>
      <c r="P224" s="159"/>
      <c r="Q224" s="160" t="s">
        <v>50</v>
      </c>
      <c r="R224" s="159"/>
      <c r="S224" s="123" t="s">
        <v>198</v>
      </c>
      <c r="T224" s="159"/>
      <c r="U224" s="160" t="s">
        <v>50</v>
      </c>
      <c r="V224" s="159"/>
    </row>
    <row r="225" spans="2:22" s="147" customFormat="1" ht="50.1" hidden="1" customHeight="1" outlineLevel="4">
      <c r="B225" s="141" t="s">
        <v>406</v>
      </c>
      <c r="C225" s="141"/>
      <c r="D225" s="141"/>
      <c r="E225" s="141"/>
      <c r="F225" s="149" t="s">
        <v>281</v>
      </c>
      <c r="G225" s="143" t="s">
        <v>407</v>
      </c>
      <c r="H225" s="144" t="s">
        <v>216</v>
      </c>
      <c r="I225" s="119" t="s">
        <v>195</v>
      </c>
      <c r="J225" s="153"/>
      <c r="K225" s="143"/>
      <c r="L225" s="143"/>
      <c r="M225" s="268"/>
      <c r="N225" s="268"/>
      <c r="O225" s="123" t="s">
        <v>198</v>
      </c>
      <c r="P225" s="150"/>
      <c r="Q225" s="158" t="s">
        <v>50</v>
      </c>
      <c r="R225" s="150"/>
      <c r="S225" s="123" t="s">
        <v>198</v>
      </c>
      <c r="T225" s="150"/>
      <c r="U225" s="158" t="s">
        <v>50</v>
      </c>
      <c r="V225" s="150"/>
    </row>
    <row r="226" spans="2:22" ht="50.1" hidden="1" customHeight="1" outlineLevel="6">
      <c r="B226" s="126"/>
      <c r="C226" s="126"/>
      <c r="D226" s="126"/>
      <c r="E226" s="126"/>
      <c r="F226" s="116" t="s">
        <v>199</v>
      </c>
      <c r="G226" s="127"/>
      <c r="H226" s="144"/>
      <c r="I226" s="119"/>
      <c r="J226" s="277" t="s">
        <v>408</v>
      </c>
      <c r="K226" s="280" t="s">
        <v>409</v>
      </c>
      <c r="L226" s="118" t="s">
        <v>219</v>
      </c>
      <c r="M226" s="287" t="s">
        <v>210</v>
      </c>
      <c r="N226" s="287"/>
      <c r="O226" s="123" t="s">
        <v>198</v>
      </c>
      <c r="P226" s="159"/>
      <c r="Q226" s="160" t="s">
        <v>50</v>
      </c>
      <c r="R226" s="159"/>
      <c r="S226" s="123" t="s">
        <v>198</v>
      </c>
      <c r="T226" s="159"/>
      <c r="U226" s="160" t="s">
        <v>50</v>
      </c>
      <c r="V226" s="159"/>
    </row>
    <row r="227" spans="2:22" ht="50.1" hidden="1" customHeight="1" outlineLevel="6">
      <c r="B227" s="126"/>
      <c r="C227" s="126"/>
      <c r="D227" s="126"/>
      <c r="E227" s="126"/>
      <c r="F227" s="116" t="s">
        <v>199</v>
      </c>
      <c r="G227" s="127"/>
      <c r="H227" s="144"/>
      <c r="I227" s="119"/>
      <c r="J227" s="278"/>
      <c r="K227" s="281"/>
      <c r="L227" s="128" t="s">
        <v>290</v>
      </c>
      <c r="M227" s="288" t="s">
        <v>211</v>
      </c>
      <c r="N227" s="288"/>
      <c r="O227" s="123" t="s">
        <v>198</v>
      </c>
      <c r="P227" s="159"/>
      <c r="Q227" s="160" t="s">
        <v>50</v>
      </c>
      <c r="R227" s="159"/>
      <c r="S227" s="123" t="s">
        <v>198</v>
      </c>
      <c r="T227" s="159"/>
      <c r="U227" s="160" t="s">
        <v>50</v>
      </c>
      <c r="V227" s="159"/>
    </row>
    <row r="228" spans="2:22" ht="50.1" hidden="1" customHeight="1" outlineLevel="6">
      <c r="B228" s="126"/>
      <c r="C228" s="126"/>
      <c r="D228" s="126"/>
      <c r="E228" s="126"/>
      <c r="F228" s="116" t="s">
        <v>199</v>
      </c>
      <c r="G228" s="127"/>
      <c r="H228" s="144"/>
      <c r="I228" s="119"/>
      <c r="J228" s="279"/>
      <c r="K228" s="282"/>
      <c r="L228" s="118" t="s">
        <v>206</v>
      </c>
      <c r="M228" s="287" t="s">
        <v>410</v>
      </c>
      <c r="N228" s="287"/>
      <c r="O228" s="123" t="s">
        <v>198</v>
      </c>
      <c r="P228" s="159"/>
      <c r="Q228" s="160" t="s">
        <v>50</v>
      </c>
      <c r="R228" s="159"/>
      <c r="S228" s="123" t="s">
        <v>198</v>
      </c>
      <c r="T228" s="159"/>
      <c r="U228" s="160" t="s">
        <v>50</v>
      </c>
      <c r="V228" s="159"/>
    </row>
    <row r="229" spans="2:22" s="147" customFormat="1" ht="50.1" hidden="1" customHeight="1" outlineLevel="4">
      <c r="B229" s="141" t="s">
        <v>411</v>
      </c>
      <c r="C229" s="141"/>
      <c r="D229" s="141"/>
      <c r="E229" s="141"/>
      <c r="F229" s="149" t="s">
        <v>214</v>
      </c>
      <c r="G229" s="143" t="s">
        <v>412</v>
      </c>
      <c r="H229" s="144" t="s">
        <v>233</v>
      </c>
      <c r="I229" s="119" t="s">
        <v>195</v>
      </c>
      <c r="J229" s="153"/>
      <c r="K229" s="143"/>
      <c r="L229" s="143"/>
      <c r="M229" s="268"/>
      <c r="N229" s="268"/>
      <c r="O229" s="123" t="s">
        <v>198</v>
      </c>
      <c r="P229" s="150"/>
      <c r="Q229" s="158" t="s">
        <v>50</v>
      </c>
      <c r="R229" s="150"/>
      <c r="S229" s="123" t="s">
        <v>198</v>
      </c>
      <c r="T229" s="150"/>
      <c r="U229" s="158" t="s">
        <v>50</v>
      </c>
      <c r="V229" s="150"/>
    </row>
    <row r="230" spans="2:22" ht="50.1" hidden="1" customHeight="1" outlineLevel="6">
      <c r="B230" s="126"/>
      <c r="C230" s="126"/>
      <c r="D230" s="126"/>
      <c r="E230" s="126"/>
      <c r="F230" s="116" t="s">
        <v>199</v>
      </c>
      <c r="G230" s="127"/>
      <c r="H230" s="144"/>
      <c r="I230" s="119"/>
      <c r="J230" s="277" t="s">
        <v>398</v>
      </c>
      <c r="K230" s="280" t="s">
        <v>332</v>
      </c>
      <c r="L230" s="118" t="s">
        <v>219</v>
      </c>
      <c r="M230" s="287" t="s">
        <v>210</v>
      </c>
      <c r="N230" s="287"/>
      <c r="O230" s="123" t="s">
        <v>198</v>
      </c>
      <c r="P230" s="159"/>
      <c r="Q230" s="160" t="s">
        <v>50</v>
      </c>
      <c r="R230" s="159"/>
      <c r="S230" s="123" t="s">
        <v>198</v>
      </c>
      <c r="T230" s="159"/>
      <c r="U230" s="160" t="s">
        <v>50</v>
      </c>
      <c r="V230" s="159"/>
    </row>
    <row r="231" spans="2:22" ht="50.1" hidden="1" customHeight="1" outlineLevel="6">
      <c r="B231" s="126"/>
      <c r="C231" s="126"/>
      <c r="D231" s="126"/>
      <c r="E231" s="126"/>
      <c r="F231" s="116" t="s">
        <v>199</v>
      </c>
      <c r="G231" s="127"/>
      <c r="H231" s="144"/>
      <c r="I231" s="119"/>
      <c r="J231" s="278"/>
      <c r="K231" s="281"/>
      <c r="L231" s="128" t="s">
        <v>290</v>
      </c>
      <c r="M231" s="288" t="s">
        <v>211</v>
      </c>
      <c r="N231" s="288"/>
      <c r="O231" s="123" t="s">
        <v>198</v>
      </c>
      <c r="P231" s="159"/>
      <c r="Q231" s="160" t="s">
        <v>50</v>
      </c>
      <c r="R231" s="159"/>
      <c r="S231" s="123" t="s">
        <v>198</v>
      </c>
      <c r="T231" s="159"/>
      <c r="U231" s="160" t="s">
        <v>50</v>
      </c>
      <c r="V231" s="159"/>
    </row>
    <row r="232" spans="2:22" ht="50.1" hidden="1" customHeight="1" outlineLevel="6">
      <c r="B232" s="126"/>
      <c r="C232" s="126"/>
      <c r="D232" s="126"/>
      <c r="E232" s="126"/>
      <c r="F232" s="116" t="s">
        <v>199</v>
      </c>
      <c r="G232" s="127"/>
      <c r="H232" s="144"/>
      <c r="I232" s="119"/>
      <c r="J232" s="279"/>
      <c r="K232" s="282"/>
      <c r="L232" s="118" t="s">
        <v>206</v>
      </c>
      <c r="M232" s="287" t="s">
        <v>212</v>
      </c>
      <c r="N232" s="287"/>
      <c r="O232" s="123" t="s">
        <v>198</v>
      </c>
      <c r="P232" s="159"/>
      <c r="Q232" s="160" t="s">
        <v>50</v>
      </c>
      <c r="R232" s="159"/>
      <c r="S232" s="123" t="s">
        <v>198</v>
      </c>
      <c r="T232" s="159"/>
      <c r="U232" s="160" t="s">
        <v>50</v>
      </c>
      <c r="V232" s="159"/>
    </row>
    <row r="233" spans="2:22" s="147" customFormat="1" ht="50.1" hidden="1" customHeight="1" outlineLevel="4">
      <c r="B233" s="141" t="s">
        <v>413</v>
      </c>
      <c r="C233" s="141"/>
      <c r="D233" s="141"/>
      <c r="E233" s="141"/>
      <c r="F233" s="149" t="s">
        <v>214</v>
      </c>
      <c r="G233" s="143" t="s">
        <v>414</v>
      </c>
      <c r="H233" s="144" t="s">
        <v>216</v>
      </c>
      <c r="I233" s="119" t="s">
        <v>195</v>
      </c>
      <c r="J233" s="153"/>
      <c r="K233" s="143"/>
      <c r="L233" s="143"/>
      <c r="M233" s="268"/>
      <c r="N233" s="268"/>
      <c r="O233" s="123" t="s">
        <v>198</v>
      </c>
      <c r="P233" s="150"/>
      <c r="Q233" s="158" t="s">
        <v>50</v>
      </c>
      <c r="R233" s="150"/>
      <c r="S233" s="123" t="s">
        <v>198</v>
      </c>
      <c r="T233" s="150"/>
      <c r="U233" s="158" t="s">
        <v>50</v>
      </c>
      <c r="V233" s="150"/>
    </row>
    <row r="234" spans="2:22" ht="50.1" hidden="1" customHeight="1" outlineLevel="6">
      <c r="B234" s="126"/>
      <c r="C234" s="126"/>
      <c r="D234" s="126"/>
      <c r="E234" s="126"/>
      <c r="F234" s="116" t="s">
        <v>199</v>
      </c>
      <c r="G234" s="127"/>
      <c r="H234" s="144"/>
      <c r="I234" s="119"/>
      <c r="J234" s="277" t="s">
        <v>398</v>
      </c>
      <c r="K234" s="280" t="s">
        <v>415</v>
      </c>
      <c r="L234" s="118" t="s">
        <v>219</v>
      </c>
      <c r="M234" s="287" t="s">
        <v>210</v>
      </c>
      <c r="N234" s="287"/>
      <c r="O234" s="123" t="s">
        <v>198</v>
      </c>
      <c r="P234" s="159"/>
      <c r="Q234" s="160" t="s">
        <v>50</v>
      </c>
      <c r="R234" s="159"/>
      <c r="S234" s="123" t="s">
        <v>198</v>
      </c>
      <c r="T234" s="159"/>
      <c r="U234" s="160" t="s">
        <v>50</v>
      </c>
      <c r="V234" s="159"/>
    </row>
    <row r="235" spans="2:22" ht="50.1" hidden="1" customHeight="1" outlineLevel="6">
      <c r="B235" s="126"/>
      <c r="C235" s="126"/>
      <c r="D235" s="126"/>
      <c r="E235" s="126"/>
      <c r="F235" s="116" t="s">
        <v>199</v>
      </c>
      <c r="G235" s="127"/>
      <c r="H235" s="144"/>
      <c r="I235" s="119"/>
      <c r="J235" s="278"/>
      <c r="K235" s="281"/>
      <c r="L235" s="128" t="s">
        <v>290</v>
      </c>
      <c r="M235" s="288" t="s">
        <v>211</v>
      </c>
      <c r="N235" s="288"/>
      <c r="O235" s="123" t="s">
        <v>198</v>
      </c>
      <c r="P235" s="159"/>
      <c r="Q235" s="160" t="s">
        <v>50</v>
      </c>
      <c r="R235" s="159"/>
      <c r="S235" s="123" t="s">
        <v>198</v>
      </c>
      <c r="T235" s="159"/>
      <c r="U235" s="160" t="s">
        <v>50</v>
      </c>
      <c r="V235" s="159"/>
    </row>
    <row r="236" spans="2:22" ht="50.1" hidden="1" customHeight="1" outlineLevel="6">
      <c r="B236" s="126"/>
      <c r="C236" s="126"/>
      <c r="D236" s="126"/>
      <c r="E236" s="126"/>
      <c r="F236" s="116" t="s">
        <v>199</v>
      </c>
      <c r="G236" s="127"/>
      <c r="H236" s="144"/>
      <c r="I236" s="119"/>
      <c r="J236" s="279"/>
      <c r="K236" s="282"/>
      <c r="L236" s="118" t="s">
        <v>206</v>
      </c>
      <c r="M236" s="287" t="s">
        <v>212</v>
      </c>
      <c r="N236" s="287"/>
      <c r="O236" s="123" t="s">
        <v>198</v>
      </c>
      <c r="P236" s="159"/>
      <c r="Q236" s="160" t="s">
        <v>50</v>
      </c>
      <c r="R236" s="159"/>
      <c r="S236" s="123" t="s">
        <v>198</v>
      </c>
      <c r="T236" s="159"/>
      <c r="U236" s="160" t="s">
        <v>50</v>
      </c>
      <c r="V236" s="159"/>
    </row>
    <row r="237" spans="2:22" s="147" customFormat="1" ht="50.1" hidden="1" customHeight="1" outlineLevel="4">
      <c r="B237" s="141" t="s">
        <v>416</v>
      </c>
      <c r="C237" s="141"/>
      <c r="D237" s="141"/>
      <c r="E237" s="141"/>
      <c r="F237" s="149" t="s">
        <v>214</v>
      </c>
      <c r="G237" s="143" t="s">
        <v>417</v>
      </c>
      <c r="H237" s="144" t="s">
        <v>216</v>
      </c>
      <c r="I237" s="119" t="s">
        <v>195</v>
      </c>
      <c r="J237" s="153"/>
      <c r="K237" s="143"/>
      <c r="L237" s="143"/>
      <c r="M237" s="268"/>
      <c r="N237" s="268"/>
      <c r="O237" s="123" t="s">
        <v>198</v>
      </c>
      <c r="P237" s="150"/>
      <c r="Q237" s="158" t="s">
        <v>50</v>
      </c>
      <c r="R237" s="150"/>
      <c r="S237" s="123" t="s">
        <v>198</v>
      </c>
      <c r="T237" s="150"/>
      <c r="U237" s="158" t="s">
        <v>50</v>
      </c>
      <c r="V237" s="150"/>
    </row>
    <row r="238" spans="2:22" ht="50.1" hidden="1" customHeight="1" outlineLevel="6">
      <c r="B238" s="126"/>
      <c r="C238" s="126"/>
      <c r="D238" s="126"/>
      <c r="E238" s="126"/>
      <c r="F238" s="116" t="s">
        <v>199</v>
      </c>
      <c r="G238" s="127"/>
      <c r="H238" s="144"/>
      <c r="I238" s="119"/>
      <c r="J238" s="277" t="s">
        <v>398</v>
      </c>
      <c r="K238" s="280" t="s">
        <v>418</v>
      </c>
      <c r="L238" s="118" t="s">
        <v>219</v>
      </c>
      <c r="M238" s="287" t="s">
        <v>210</v>
      </c>
      <c r="N238" s="287"/>
      <c r="O238" s="123" t="s">
        <v>198</v>
      </c>
      <c r="P238" s="159"/>
      <c r="Q238" s="160" t="s">
        <v>50</v>
      </c>
      <c r="R238" s="159"/>
      <c r="S238" s="123" t="s">
        <v>198</v>
      </c>
      <c r="T238" s="159"/>
      <c r="U238" s="160" t="s">
        <v>50</v>
      </c>
      <c r="V238" s="159"/>
    </row>
    <row r="239" spans="2:22" ht="50.1" hidden="1" customHeight="1" outlineLevel="6">
      <c r="B239" s="126"/>
      <c r="C239" s="126"/>
      <c r="D239" s="126"/>
      <c r="E239" s="126"/>
      <c r="F239" s="116" t="s">
        <v>199</v>
      </c>
      <c r="G239" s="127"/>
      <c r="H239" s="144"/>
      <c r="I239" s="119"/>
      <c r="J239" s="278"/>
      <c r="K239" s="281"/>
      <c r="L239" s="128" t="s">
        <v>290</v>
      </c>
      <c r="M239" s="288" t="s">
        <v>211</v>
      </c>
      <c r="N239" s="288"/>
      <c r="O239" s="123" t="s">
        <v>198</v>
      </c>
      <c r="P239" s="159"/>
      <c r="Q239" s="160" t="s">
        <v>50</v>
      </c>
      <c r="R239" s="159"/>
      <c r="S239" s="123" t="s">
        <v>198</v>
      </c>
      <c r="T239" s="159"/>
      <c r="U239" s="160" t="s">
        <v>50</v>
      </c>
      <c r="V239" s="159"/>
    </row>
    <row r="240" spans="2:22" ht="50.1" hidden="1" customHeight="1" outlineLevel="6">
      <c r="B240" s="126"/>
      <c r="C240" s="126"/>
      <c r="D240" s="126"/>
      <c r="E240" s="126"/>
      <c r="F240" s="116" t="s">
        <v>199</v>
      </c>
      <c r="G240" s="127"/>
      <c r="H240" s="144"/>
      <c r="I240" s="119"/>
      <c r="J240" s="279"/>
      <c r="K240" s="282"/>
      <c r="L240" s="118" t="s">
        <v>206</v>
      </c>
      <c r="M240" s="287" t="s">
        <v>212</v>
      </c>
      <c r="N240" s="287"/>
      <c r="O240" s="123" t="s">
        <v>198</v>
      </c>
      <c r="P240" s="159"/>
      <c r="Q240" s="160" t="s">
        <v>50</v>
      </c>
      <c r="R240" s="159"/>
      <c r="S240" s="123" t="s">
        <v>198</v>
      </c>
      <c r="T240" s="159"/>
      <c r="U240" s="160" t="s">
        <v>50</v>
      </c>
      <c r="V240" s="159"/>
    </row>
    <row r="241" spans="2:22" s="147" customFormat="1" ht="50.1" hidden="1" customHeight="1" outlineLevel="4">
      <c r="B241" s="141" t="s">
        <v>419</v>
      </c>
      <c r="C241" s="141"/>
      <c r="D241" s="141"/>
      <c r="E241" s="141"/>
      <c r="F241" s="149" t="s">
        <v>214</v>
      </c>
      <c r="G241" s="143" t="s">
        <v>420</v>
      </c>
      <c r="H241" s="144" t="s">
        <v>216</v>
      </c>
      <c r="I241" s="119" t="s">
        <v>195</v>
      </c>
      <c r="J241" s="153"/>
      <c r="K241" s="143"/>
      <c r="L241" s="143"/>
      <c r="M241" s="268"/>
      <c r="N241" s="268"/>
      <c r="O241" s="123" t="s">
        <v>198</v>
      </c>
      <c r="P241" s="150"/>
      <c r="Q241" s="158" t="s">
        <v>50</v>
      </c>
      <c r="R241" s="150"/>
      <c r="S241" s="123" t="s">
        <v>198</v>
      </c>
      <c r="T241" s="150"/>
      <c r="U241" s="158" t="s">
        <v>50</v>
      </c>
      <c r="V241" s="150"/>
    </row>
    <row r="242" spans="2:22" ht="50.1" hidden="1" customHeight="1" outlineLevel="6">
      <c r="B242" s="126"/>
      <c r="C242" s="126"/>
      <c r="D242" s="126"/>
      <c r="E242" s="126"/>
      <c r="F242" s="116" t="s">
        <v>199</v>
      </c>
      <c r="G242" s="127"/>
      <c r="H242" s="144"/>
      <c r="I242" s="119"/>
      <c r="J242" s="277" t="s">
        <v>398</v>
      </c>
      <c r="K242" s="280" t="s">
        <v>421</v>
      </c>
      <c r="L242" s="118" t="s">
        <v>219</v>
      </c>
      <c r="M242" s="287" t="s">
        <v>210</v>
      </c>
      <c r="N242" s="287"/>
      <c r="O242" s="123" t="s">
        <v>198</v>
      </c>
      <c r="P242" s="159"/>
      <c r="Q242" s="160" t="s">
        <v>50</v>
      </c>
      <c r="R242" s="159"/>
      <c r="S242" s="123" t="s">
        <v>198</v>
      </c>
      <c r="T242" s="159"/>
      <c r="U242" s="160" t="s">
        <v>50</v>
      </c>
      <c r="V242" s="159"/>
    </row>
    <row r="243" spans="2:22" ht="50.1" hidden="1" customHeight="1" outlineLevel="6">
      <c r="B243" s="126"/>
      <c r="C243" s="126"/>
      <c r="D243" s="126"/>
      <c r="E243" s="126"/>
      <c r="F243" s="116" t="s">
        <v>199</v>
      </c>
      <c r="G243" s="127"/>
      <c r="H243" s="144"/>
      <c r="I243" s="119"/>
      <c r="J243" s="278"/>
      <c r="K243" s="281"/>
      <c r="L243" s="128" t="s">
        <v>290</v>
      </c>
      <c r="M243" s="288" t="s">
        <v>211</v>
      </c>
      <c r="N243" s="288"/>
      <c r="O243" s="123" t="s">
        <v>198</v>
      </c>
      <c r="P243" s="159"/>
      <c r="Q243" s="160" t="s">
        <v>50</v>
      </c>
      <c r="R243" s="159"/>
      <c r="S243" s="123" t="s">
        <v>198</v>
      </c>
      <c r="T243" s="159"/>
      <c r="U243" s="160" t="s">
        <v>50</v>
      </c>
      <c r="V243" s="159"/>
    </row>
    <row r="244" spans="2:22" ht="50.1" hidden="1" customHeight="1" outlineLevel="6">
      <c r="B244" s="126"/>
      <c r="C244" s="126"/>
      <c r="D244" s="126"/>
      <c r="E244" s="126"/>
      <c r="F244" s="116" t="s">
        <v>199</v>
      </c>
      <c r="G244" s="127"/>
      <c r="H244" s="144"/>
      <c r="I244" s="119"/>
      <c r="J244" s="279"/>
      <c r="K244" s="282"/>
      <c r="L244" s="118" t="s">
        <v>206</v>
      </c>
      <c r="M244" s="287" t="s">
        <v>212</v>
      </c>
      <c r="N244" s="287"/>
      <c r="O244" s="123" t="s">
        <v>198</v>
      </c>
      <c r="P244" s="159"/>
      <c r="Q244" s="160" t="s">
        <v>50</v>
      </c>
      <c r="R244" s="159"/>
      <c r="S244" s="123" t="s">
        <v>198</v>
      </c>
      <c r="T244" s="159"/>
      <c r="U244" s="160" t="s">
        <v>50</v>
      </c>
      <c r="V244" s="159"/>
    </row>
    <row r="245" spans="2:22" s="147" customFormat="1" ht="50.1" hidden="1" customHeight="1" outlineLevel="4">
      <c r="B245" s="141" t="s">
        <v>422</v>
      </c>
      <c r="C245" s="141"/>
      <c r="D245" s="141"/>
      <c r="E245" s="141"/>
      <c r="F245" s="149" t="s">
        <v>214</v>
      </c>
      <c r="G245" s="143" t="s">
        <v>423</v>
      </c>
      <c r="H245" s="144" t="s">
        <v>216</v>
      </c>
      <c r="I245" s="119" t="s">
        <v>195</v>
      </c>
      <c r="J245" s="153"/>
      <c r="K245" s="143"/>
      <c r="L245" s="143"/>
      <c r="M245" s="268"/>
      <c r="N245" s="268"/>
      <c r="O245" s="123" t="s">
        <v>198</v>
      </c>
      <c r="P245" s="150"/>
      <c r="Q245" s="158" t="s">
        <v>50</v>
      </c>
      <c r="R245" s="150"/>
      <c r="S245" s="123" t="s">
        <v>198</v>
      </c>
      <c r="T245" s="150"/>
      <c r="U245" s="158" t="s">
        <v>50</v>
      </c>
      <c r="V245" s="150"/>
    </row>
    <row r="246" spans="2:22" ht="50.1" hidden="1" customHeight="1" outlineLevel="6">
      <c r="B246" s="126"/>
      <c r="C246" s="126"/>
      <c r="D246" s="126"/>
      <c r="E246" s="126"/>
      <c r="F246" s="116" t="s">
        <v>199</v>
      </c>
      <c r="G246" s="127"/>
      <c r="H246" s="144"/>
      <c r="I246" s="148"/>
      <c r="J246" s="277" t="s">
        <v>398</v>
      </c>
      <c r="K246" s="280" t="s">
        <v>424</v>
      </c>
      <c r="L246" s="118" t="s">
        <v>219</v>
      </c>
      <c r="M246" s="287" t="s">
        <v>210</v>
      </c>
      <c r="N246" s="287"/>
      <c r="O246" s="123" t="s">
        <v>198</v>
      </c>
      <c r="P246" s="159"/>
      <c r="Q246" s="160" t="s">
        <v>50</v>
      </c>
      <c r="R246" s="159"/>
      <c r="S246" s="123" t="s">
        <v>198</v>
      </c>
      <c r="T246" s="159"/>
      <c r="U246" s="160" t="s">
        <v>50</v>
      </c>
      <c r="V246" s="159"/>
    </row>
    <row r="247" spans="2:22" ht="50.1" hidden="1" customHeight="1" outlineLevel="6">
      <c r="B247" s="126"/>
      <c r="C247" s="126"/>
      <c r="D247" s="126"/>
      <c r="E247" s="126"/>
      <c r="F247" s="116" t="s">
        <v>199</v>
      </c>
      <c r="G247" s="127"/>
      <c r="H247" s="144"/>
      <c r="I247" s="148"/>
      <c r="J247" s="278"/>
      <c r="K247" s="281"/>
      <c r="L247" s="128" t="s">
        <v>290</v>
      </c>
      <c r="M247" s="288" t="s">
        <v>211</v>
      </c>
      <c r="N247" s="288"/>
      <c r="O247" s="123" t="s">
        <v>198</v>
      </c>
      <c r="P247" s="159"/>
      <c r="Q247" s="160" t="s">
        <v>50</v>
      </c>
      <c r="R247" s="159"/>
      <c r="S247" s="123" t="s">
        <v>198</v>
      </c>
      <c r="T247" s="159"/>
      <c r="U247" s="160" t="s">
        <v>50</v>
      </c>
      <c r="V247" s="159"/>
    </row>
    <row r="248" spans="2:22" ht="50.1" hidden="1" customHeight="1" outlineLevel="6">
      <c r="B248" s="126"/>
      <c r="C248" s="126"/>
      <c r="D248" s="126"/>
      <c r="E248" s="126"/>
      <c r="F248" s="116" t="s">
        <v>199</v>
      </c>
      <c r="G248" s="127"/>
      <c r="H248" s="144"/>
      <c r="I248" s="148"/>
      <c r="J248" s="279"/>
      <c r="K248" s="282"/>
      <c r="L248" s="118" t="s">
        <v>206</v>
      </c>
      <c r="M248" s="287" t="s">
        <v>212</v>
      </c>
      <c r="N248" s="287"/>
      <c r="O248" s="123" t="s">
        <v>198</v>
      </c>
      <c r="P248" s="159"/>
      <c r="Q248" s="160" t="s">
        <v>50</v>
      </c>
      <c r="R248" s="159"/>
      <c r="S248" s="123" t="s">
        <v>198</v>
      </c>
      <c r="T248" s="159"/>
      <c r="U248" s="160" t="s">
        <v>50</v>
      </c>
      <c r="V248" s="159"/>
    </row>
    <row r="249" spans="2:22" s="147" customFormat="1" ht="50.1" hidden="1" customHeight="1" outlineLevel="4">
      <c r="B249" s="141" t="s">
        <v>425</v>
      </c>
      <c r="C249" s="141"/>
      <c r="D249" s="141"/>
      <c r="E249" s="141"/>
      <c r="F249" s="149" t="s">
        <v>214</v>
      </c>
      <c r="G249" s="143" t="s">
        <v>426</v>
      </c>
      <c r="H249" s="144" t="s">
        <v>216</v>
      </c>
      <c r="I249" s="119" t="s">
        <v>195</v>
      </c>
      <c r="J249" s="153"/>
      <c r="K249" s="143"/>
      <c r="L249" s="143"/>
      <c r="M249" s="268"/>
      <c r="N249" s="268"/>
      <c r="O249" s="123" t="s">
        <v>198</v>
      </c>
      <c r="P249" s="150"/>
      <c r="Q249" s="158" t="s">
        <v>50</v>
      </c>
      <c r="R249" s="150"/>
      <c r="S249" s="123" t="s">
        <v>198</v>
      </c>
      <c r="T249" s="150"/>
      <c r="U249" s="158" t="s">
        <v>50</v>
      </c>
      <c r="V249" s="150"/>
    </row>
    <row r="250" spans="2:22" ht="50.1" hidden="1" customHeight="1" outlineLevel="6">
      <c r="B250" s="126"/>
      <c r="C250" s="126"/>
      <c r="D250" s="126"/>
      <c r="E250" s="126"/>
      <c r="F250" s="116" t="s">
        <v>199</v>
      </c>
      <c r="G250" s="127"/>
      <c r="H250" s="144"/>
      <c r="I250" s="119"/>
      <c r="J250" s="277" t="s">
        <v>398</v>
      </c>
      <c r="K250" s="280" t="s">
        <v>427</v>
      </c>
      <c r="L250" s="118" t="s">
        <v>219</v>
      </c>
      <c r="M250" s="287" t="s">
        <v>210</v>
      </c>
      <c r="N250" s="287"/>
      <c r="O250" s="123" t="s">
        <v>198</v>
      </c>
      <c r="P250" s="159"/>
      <c r="Q250" s="160" t="s">
        <v>50</v>
      </c>
      <c r="R250" s="159"/>
      <c r="S250" s="123" t="s">
        <v>198</v>
      </c>
      <c r="T250" s="159"/>
      <c r="U250" s="160" t="s">
        <v>50</v>
      </c>
      <c r="V250" s="159"/>
    </row>
    <row r="251" spans="2:22" ht="50.1" hidden="1" customHeight="1" outlineLevel="6">
      <c r="B251" s="126"/>
      <c r="C251" s="126"/>
      <c r="D251" s="126"/>
      <c r="E251" s="126"/>
      <c r="F251" s="116" t="s">
        <v>199</v>
      </c>
      <c r="G251" s="127"/>
      <c r="H251" s="144"/>
      <c r="I251" s="119"/>
      <c r="J251" s="278"/>
      <c r="K251" s="281"/>
      <c r="L251" s="128" t="s">
        <v>290</v>
      </c>
      <c r="M251" s="288" t="s">
        <v>211</v>
      </c>
      <c r="N251" s="288"/>
      <c r="O251" s="123" t="s">
        <v>198</v>
      </c>
      <c r="P251" s="159"/>
      <c r="Q251" s="160" t="s">
        <v>50</v>
      </c>
      <c r="R251" s="159"/>
      <c r="S251" s="123" t="s">
        <v>198</v>
      </c>
      <c r="T251" s="159"/>
      <c r="U251" s="160" t="s">
        <v>50</v>
      </c>
      <c r="V251" s="159"/>
    </row>
    <row r="252" spans="2:22" ht="50.1" hidden="1" customHeight="1" outlineLevel="6">
      <c r="B252" s="126"/>
      <c r="C252" s="126"/>
      <c r="D252" s="126"/>
      <c r="E252" s="126"/>
      <c r="F252" s="116" t="s">
        <v>199</v>
      </c>
      <c r="G252" s="127"/>
      <c r="H252" s="144"/>
      <c r="I252" s="119"/>
      <c r="J252" s="279"/>
      <c r="K252" s="282"/>
      <c r="L252" s="118" t="s">
        <v>206</v>
      </c>
      <c r="M252" s="287" t="s">
        <v>212</v>
      </c>
      <c r="N252" s="287"/>
      <c r="O252" s="123" t="s">
        <v>198</v>
      </c>
      <c r="P252" s="159"/>
      <c r="Q252" s="160" t="s">
        <v>50</v>
      </c>
      <c r="R252" s="159"/>
      <c r="S252" s="123" t="s">
        <v>198</v>
      </c>
      <c r="T252" s="159"/>
      <c r="U252" s="160" t="s">
        <v>50</v>
      </c>
      <c r="V252" s="159"/>
    </row>
    <row r="253" spans="2:22" s="147" customFormat="1" ht="50.1" hidden="1" customHeight="1" outlineLevel="4">
      <c r="B253" s="141" t="s">
        <v>428</v>
      </c>
      <c r="C253" s="141"/>
      <c r="D253" s="141"/>
      <c r="E253" s="141"/>
      <c r="F253" s="149" t="s">
        <v>214</v>
      </c>
      <c r="G253" s="143" t="s">
        <v>429</v>
      </c>
      <c r="H253" s="144" t="s">
        <v>216</v>
      </c>
      <c r="I253" s="119" t="s">
        <v>195</v>
      </c>
      <c r="J253" s="153"/>
      <c r="K253" s="143"/>
      <c r="L253" s="143"/>
      <c r="M253" s="268"/>
      <c r="N253" s="268"/>
      <c r="O253" s="123" t="s">
        <v>198</v>
      </c>
      <c r="P253" s="150"/>
      <c r="Q253" s="158" t="s">
        <v>50</v>
      </c>
      <c r="R253" s="150"/>
      <c r="S253" s="123" t="s">
        <v>198</v>
      </c>
      <c r="T253" s="150"/>
      <c r="U253" s="158" t="s">
        <v>50</v>
      </c>
      <c r="V253" s="150"/>
    </row>
    <row r="254" spans="2:22" ht="50.1" hidden="1" customHeight="1" outlineLevel="6">
      <c r="B254" s="126"/>
      <c r="C254" s="126"/>
      <c r="D254" s="126"/>
      <c r="E254" s="126"/>
      <c r="F254" s="116" t="s">
        <v>199</v>
      </c>
      <c r="G254" s="127"/>
      <c r="H254" s="144"/>
      <c r="I254" s="119"/>
      <c r="J254" s="277" t="s">
        <v>398</v>
      </c>
      <c r="K254" s="280" t="s">
        <v>409</v>
      </c>
      <c r="L254" s="118" t="s">
        <v>219</v>
      </c>
      <c r="M254" s="287" t="s">
        <v>210</v>
      </c>
      <c r="N254" s="287"/>
      <c r="O254" s="123" t="s">
        <v>198</v>
      </c>
      <c r="P254" s="159"/>
      <c r="Q254" s="160" t="s">
        <v>50</v>
      </c>
      <c r="R254" s="159"/>
      <c r="S254" s="123" t="s">
        <v>198</v>
      </c>
      <c r="T254" s="159"/>
      <c r="U254" s="160" t="s">
        <v>50</v>
      </c>
      <c r="V254" s="159"/>
    </row>
    <row r="255" spans="2:22" ht="50.1" hidden="1" customHeight="1" outlineLevel="6">
      <c r="B255" s="126"/>
      <c r="C255" s="126"/>
      <c r="D255" s="126"/>
      <c r="E255" s="126"/>
      <c r="F255" s="116" t="s">
        <v>199</v>
      </c>
      <c r="G255" s="127"/>
      <c r="H255" s="144"/>
      <c r="I255" s="119"/>
      <c r="J255" s="278"/>
      <c r="K255" s="281"/>
      <c r="L255" s="128" t="s">
        <v>290</v>
      </c>
      <c r="M255" s="288" t="s">
        <v>211</v>
      </c>
      <c r="N255" s="288"/>
      <c r="O255" s="123" t="s">
        <v>198</v>
      </c>
      <c r="P255" s="159"/>
      <c r="Q255" s="160" t="s">
        <v>50</v>
      </c>
      <c r="R255" s="159"/>
      <c r="S255" s="123" t="s">
        <v>198</v>
      </c>
      <c r="T255" s="159"/>
      <c r="U255" s="160" t="s">
        <v>50</v>
      </c>
      <c r="V255" s="159"/>
    </row>
    <row r="256" spans="2:22" ht="50.1" hidden="1" customHeight="1" outlineLevel="6">
      <c r="B256" s="126"/>
      <c r="C256" s="126"/>
      <c r="D256" s="126"/>
      <c r="E256" s="126"/>
      <c r="F256" s="116" t="s">
        <v>199</v>
      </c>
      <c r="G256" s="127"/>
      <c r="H256" s="144"/>
      <c r="I256" s="119"/>
      <c r="J256" s="279"/>
      <c r="K256" s="282"/>
      <c r="L256" s="118" t="s">
        <v>206</v>
      </c>
      <c r="M256" s="287" t="s">
        <v>212</v>
      </c>
      <c r="N256" s="287"/>
      <c r="O256" s="123" t="s">
        <v>198</v>
      </c>
      <c r="P256" s="159"/>
      <c r="Q256" s="160" t="s">
        <v>50</v>
      </c>
      <c r="R256" s="159"/>
      <c r="S256" s="123" t="s">
        <v>198</v>
      </c>
      <c r="T256" s="159"/>
      <c r="U256" s="160" t="s">
        <v>50</v>
      </c>
      <c r="V256" s="159"/>
    </row>
    <row r="257" spans="2:22" s="147" customFormat="1" ht="50.1" hidden="1" customHeight="1" outlineLevel="4">
      <c r="B257" s="141" t="s">
        <v>430</v>
      </c>
      <c r="C257" s="141"/>
      <c r="D257" s="141"/>
      <c r="E257" s="141"/>
      <c r="F257" s="149" t="s">
        <v>214</v>
      </c>
      <c r="G257" s="143" t="s">
        <v>431</v>
      </c>
      <c r="H257" s="144" t="s">
        <v>216</v>
      </c>
      <c r="I257" s="119" t="s">
        <v>195</v>
      </c>
      <c r="J257" s="153"/>
      <c r="K257" s="143"/>
      <c r="L257" s="143"/>
      <c r="M257" s="268"/>
      <c r="N257" s="268"/>
      <c r="O257" s="123" t="s">
        <v>198</v>
      </c>
      <c r="P257" s="150"/>
      <c r="Q257" s="158" t="s">
        <v>50</v>
      </c>
      <c r="R257" s="150"/>
      <c r="S257" s="123" t="s">
        <v>198</v>
      </c>
      <c r="T257" s="150"/>
      <c r="U257" s="158" t="s">
        <v>50</v>
      </c>
      <c r="V257" s="150"/>
    </row>
    <row r="258" spans="2:22" ht="50.1" hidden="1" customHeight="1" outlineLevel="6">
      <c r="B258" s="126"/>
      <c r="C258" s="126"/>
      <c r="D258" s="126"/>
      <c r="E258" s="126"/>
      <c r="F258" s="116" t="s">
        <v>199</v>
      </c>
      <c r="G258" s="127"/>
      <c r="H258" s="144"/>
      <c r="I258" s="119"/>
      <c r="J258" s="277" t="s">
        <v>398</v>
      </c>
      <c r="K258" s="280" t="s">
        <v>432</v>
      </c>
      <c r="L258" s="118" t="s">
        <v>219</v>
      </c>
      <c r="M258" s="287" t="s">
        <v>210</v>
      </c>
      <c r="N258" s="287"/>
      <c r="O258" s="123" t="s">
        <v>198</v>
      </c>
      <c r="P258" s="159"/>
      <c r="Q258" s="160" t="s">
        <v>50</v>
      </c>
      <c r="R258" s="159"/>
      <c r="S258" s="123" t="s">
        <v>198</v>
      </c>
      <c r="T258" s="159"/>
      <c r="U258" s="160" t="s">
        <v>50</v>
      </c>
      <c r="V258" s="159"/>
    </row>
    <row r="259" spans="2:22" ht="50.1" hidden="1" customHeight="1" outlineLevel="6">
      <c r="B259" s="126"/>
      <c r="C259" s="126"/>
      <c r="D259" s="126"/>
      <c r="E259" s="126"/>
      <c r="F259" s="116" t="s">
        <v>199</v>
      </c>
      <c r="G259" s="127"/>
      <c r="H259" s="144"/>
      <c r="I259" s="119"/>
      <c r="J259" s="278"/>
      <c r="K259" s="281"/>
      <c r="L259" s="128" t="s">
        <v>290</v>
      </c>
      <c r="M259" s="288" t="s">
        <v>211</v>
      </c>
      <c r="N259" s="288"/>
      <c r="O259" s="123" t="s">
        <v>198</v>
      </c>
      <c r="P259" s="159"/>
      <c r="Q259" s="160" t="s">
        <v>50</v>
      </c>
      <c r="R259" s="159"/>
      <c r="S259" s="123" t="s">
        <v>198</v>
      </c>
      <c r="T259" s="159"/>
      <c r="U259" s="160" t="s">
        <v>50</v>
      </c>
      <c r="V259" s="159"/>
    </row>
    <row r="260" spans="2:22" ht="50.1" hidden="1" customHeight="1" outlineLevel="6">
      <c r="B260" s="126"/>
      <c r="C260" s="126"/>
      <c r="D260" s="126"/>
      <c r="E260" s="126"/>
      <c r="F260" s="116" t="s">
        <v>199</v>
      </c>
      <c r="G260" s="127"/>
      <c r="H260" s="144"/>
      <c r="I260" s="119"/>
      <c r="J260" s="279"/>
      <c r="K260" s="282"/>
      <c r="L260" s="118" t="s">
        <v>206</v>
      </c>
      <c r="M260" s="287" t="s">
        <v>410</v>
      </c>
      <c r="N260" s="287"/>
      <c r="O260" s="123" t="s">
        <v>198</v>
      </c>
      <c r="P260" s="159"/>
      <c r="Q260" s="160" t="s">
        <v>50</v>
      </c>
      <c r="R260" s="159"/>
      <c r="S260" s="123" t="s">
        <v>198</v>
      </c>
      <c r="T260" s="159"/>
      <c r="U260" s="160" t="s">
        <v>50</v>
      </c>
      <c r="V260" s="159"/>
    </row>
    <row r="261" spans="2:22" s="147" customFormat="1" ht="50.1" hidden="1" customHeight="1" outlineLevel="4">
      <c r="B261" s="141" t="s">
        <v>433</v>
      </c>
      <c r="C261" s="141"/>
      <c r="D261" s="141"/>
      <c r="E261" s="141"/>
      <c r="F261" s="149" t="s">
        <v>214</v>
      </c>
      <c r="G261" s="143" t="s">
        <v>434</v>
      </c>
      <c r="H261" s="144" t="s">
        <v>216</v>
      </c>
      <c r="I261" s="119" t="s">
        <v>195</v>
      </c>
      <c r="J261" s="145" t="s">
        <v>435</v>
      </c>
      <c r="K261" s="143"/>
      <c r="L261" s="143"/>
      <c r="M261" s="268"/>
      <c r="N261" s="268"/>
      <c r="O261" s="123" t="s">
        <v>198</v>
      </c>
      <c r="P261" s="150"/>
      <c r="Q261" s="158" t="s">
        <v>50</v>
      </c>
      <c r="R261" s="150"/>
      <c r="S261" s="123" t="s">
        <v>198</v>
      </c>
      <c r="T261" s="150"/>
      <c r="U261" s="158" t="s">
        <v>50</v>
      </c>
      <c r="V261" s="150"/>
    </row>
    <row r="262" spans="2:22" ht="50.1" hidden="1" customHeight="1" outlineLevel="6">
      <c r="B262" s="126"/>
      <c r="C262" s="126"/>
      <c r="D262" s="126"/>
      <c r="E262" s="126"/>
      <c r="F262" s="116" t="s">
        <v>199</v>
      </c>
      <c r="G262" s="127"/>
      <c r="H262" s="144"/>
      <c r="I262" s="148"/>
      <c r="J262" s="277" t="s">
        <v>398</v>
      </c>
      <c r="K262" s="280" t="s">
        <v>436</v>
      </c>
      <c r="L262" s="118" t="s">
        <v>219</v>
      </c>
      <c r="M262" s="287" t="s">
        <v>210</v>
      </c>
      <c r="N262" s="287"/>
      <c r="O262" s="123" t="s">
        <v>198</v>
      </c>
      <c r="P262" s="159"/>
      <c r="Q262" s="160" t="s">
        <v>50</v>
      </c>
      <c r="R262" s="159"/>
      <c r="S262" s="123" t="s">
        <v>198</v>
      </c>
      <c r="T262" s="159"/>
      <c r="U262" s="160" t="s">
        <v>50</v>
      </c>
      <c r="V262" s="159"/>
    </row>
    <row r="263" spans="2:22" ht="50.1" hidden="1" customHeight="1" outlineLevel="6">
      <c r="B263" s="126"/>
      <c r="C263" s="126"/>
      <c r="D263" s="126"/>
      <c r="E263" s="126"/>
      <c r="F263" s="116" t="s">
        <v>199</v>
      </c>
      <c r="G263" s="127"/>
      <c r="H263" s="144"/>
      <c r="I263" s="148"/>
      <c r="J263" s="278"/>
      <c r="K263" s="281"/>
      <c r="L263" s="128" t="s">
        <v>290</v>
      </c>
      <c r="M263" s="288" t="s">
        <v>211</v>
      </c>
      <c r="N263" s="288"/>
      <c r="O263" s="123" t="s">
        <v>198</v>
      </c>
      <c r="P263" s="159"/>
      <c r="Q263" s="160" t="s">
        <v>50</v>
      </c>
      <c r="R263" s="159"/>
      <c r="S263" s="123" t="s">
        <v>198</v>
      </c>
      <c r="T263" s="159"/>
      <c r="U263" s="160" t="s">
        <v>50</v>
      </c>
      <c r="V263" s="159"/>
    </row>
    <row r="264" spans="2:22" ht="50.1" hidden="1" customHeight="1" outlineLevel="6">
      <c r="B264" s="126"/>
      <c r="C264" s="126"/>
      <c r="D264" s="126"/>
      <c r="E264" s="126"/>
      <c r="F264" s="116" t="s">
        <v>199</v>
      </c>
      <c r="G264" s="127"/>
      <c r="H264" s="144"/>
      <c r="I264" s="148"/>
      <c r="J264" s="279"/>
      <c r="K264" s="282"/>
      <c r="L264" s="118" t="s">
        <v>206</v>
      </c>
      <c r="M264" s="287" t="s">
        <v>410</v>
      </c>
      <c r="N264" s="287"/>
      <c r="O264" s="123" t="s">
        <v>198</v>
      </c>
      <c r="P264" s="159"/>
      <c r="Q264" s="160" t="s">
        <v>50</v>
      </c>
      <c r="R264" s="159"/>
      <c r="S264" s="123" t="s">
        <v>198</v>
      </c>
      <c r="T264" s="159"/>
      <c r="U264" s="160" t="s">
        <v>50</v>
      </c>
      <c r="V264" s="159"/>
    </row>
    <row r="265" spans="2:22" s="147" customFormat="1" ht="50.1" hidden="1" customHeight="1" outlineLevel="4">
      <c r="B265" s="162" t="s">
        <v>437</v>
      </c>
      <c r="C265" s="162"/>
      <c r="D265" s="162"/>
      <c r="E265" s="162"/>
      <c r="F265" s="157" t="s">
        <v>214</v>
      </c>
      <c r="G265" s="156" t="s">
        <v>438</v>
      </c>
      <c r="H265" s="144" t="s">
        <v>216</v>
      </c>
      <c r="I265" s="119" t="s">
        <v>195</v>
      </c>
      <c r="J265" s="153"/>
      <c r="K265" s="143"/>
      <c r="L265" s="143"/>
      <c r="M265" s="268"/>
      <c r="N265" s="268"/>
      <c r="O265" s="123" t="s">
        <v>198</v>
      </c>
      <c r="P265" s="150"/>
      <c r="Q265" s="158" t="s">
        <v>50</v>
      </c>
      <c r="R265" s="150"/>
      <c r="S265" s="123" t="s">
        <v>198</v>
      </c>
      <c r="T265" s="150"/>
      <c r="U265" s="158" t="s">
        <v>50</v>
      </c>
      <c r="V265" s="150"/>
    </row>
    <row r="266" spans="2:22" ht="50.1" hidden="1" customHeight="1" outlineLevel="6">
      <c r="B266" s="126"/>
      <c r="C266" s="126"/>
      <c r="D266" s="126"/>
      <c r="E266" s="126"/>
      <c r="F266" s="116" t="s">
        <v>199</v>
      </c>
      <c r="G266" s="127"/>
      <c r="H266" s="144"/>
      <c r="I266" s="119"/>
      <c r="J266" s="277" t="s">
        <v>398</v>
      </c>
      <c r="K266" s="280" t="s">
        <v>439</v>
      </c>
      <c r="L266" s="118" t="s">
        <v>219</v>
      </c>
      <c r="M266" s="287" t="s">
        <v>440</v>
      </c>
      <c r="N266" s="287"/>
      <c r="O266" s="123" t="s">
        <v>198</v>
      </c>
      <c r="P266" s="159"/>
      <c r="Q266" s="160" t="s">
        <v>50</v>
      </c>
      <c r="R266" s="159"/>
      <c r="S266" s="123" t="s">
        <v>198</v>
      </c>
      <c r="T266" s="159"/>
      <c r="U266" s="160" t="s">
        <v>50</v>
      </c>
      <c r="V266" s="159"/>
    </row>
    <row r="267" spans="2:22" ht="50.1" hidden="1" customHeight="1" outlineLevel="6">
      <c r="B267" s="126"/>
      <c r="C267" s="126"/>
      <c r="D267" s="126"/>
      <c r="E267" s="126"/>
      <c r="F267" s="116" t="s">
        <v>199</v>
      </c>
      <c r="G267" s="127"/>
      <c r="H267" s="144"/>
      <c r="I267" s="119"/>
      <c r="J267" s="278"/>
      <c r="K267" s="281"/>
      <c r="L267" s="128" t="s">
        <v>290</v>
      </c>
      <c r="M267" s="288" t="s">
        <v>211</v>
      </c>
      <c r="N267" s="288"/>
      <c r="O267" s="123" t="s">
        <v>198</v>
      </c>
      <c r="P267" s="159"/>
      <c r="Q267" s="160" t="s">
        <v>50</v>
      </c>
      <c r="R267" s="159"/>
      <c r="S267" s="123" t="s">
        <v>198</v>
      </c>
      <c r="T267" s="159"/>
      <c r="U267" s="160" t="s">
        <v>50</v>
      </c>
      <c r="V267" s="159"/>
    </row>
    <row r="268" spans="2:22" ht="50.1" hidden="1" customHeight="1" outlineLevel="6">
      <c r="B268" s="126"/>
      <c r="C268" s="126"/>
      <c r="D268" s="126"/>
      <c r="E268" s="126"/>
      <c r="F268" s="116" t="s">
        <v>199</v>
      </c>
      <c r="G268" s="127"/>
      <c r="H268" s="144"/>
      <c r="I268" s="119"/>
      <c r="J268" s="279"/>
      <c r="K268" s="282"/>
      <c r="L268" s="118" t="s">
        <v>206</v>
      </c>
      <c r="M268" s="287" t="s">
        <v>402</v>
      </c>
      <c r="N268" s="287"/>
      <c r="O268" s="123" t="s">
        <v>198</v>
      </c>
      <c r="P268" s="159"/>
      <c r="Q268" s="160" t="s">
        <v>50</v>
      </c>
      <c r="R268" s="159"/>
      <c r="S268" s="123" t="s">
        <v>198</v>
      </c>
      <c r="T268" s="159"/>
      <c r="U268" s="160" t="s">
        <v>50</v>
      </c>
      <c r="V268" s="159"/>
    </row>
    <row r="269" spans="2:22" s="147" customFormat="1" ht="50.1" hidden="1" customHeight="1" outlineLevel="4">
      <c r="B269" s="141" t="s">
        <v>441</v>
      </c>
      <c r="C269" s="141"/>
      <c r="D269" s="141"/>
      <c r="E269" s="141"/>
      <c r="F269" s="149" t="s">
        <v>214</v>
      </c>
      <c r="G269" s="143" t="s">
        <v>442</v>
      </c>
      <c r="H269" s="144" t="s">
        <v>216</v>
      </c>
      <c r="I269" s="119" t="s">
        <v>195</v>
      </c>
      <c r="J269" s="153"/>
      <c r="K269" s="143"/>
      <c r="L269" s="143"/>
      <c r="M269" s="268"/>
      <c r="N269" s="268"/>
      <c r="O269" s="123" t="s">
        <v>198</v>
      </c>
      <c r="P269" s="150"/>
      <c r="Q269" s="158" t="s">
        <v>50</v>
      </c>
      <c r="R269" s="150"/>
      <c r="S269" s="123" t="s">
        <v>198</v>
      </c>
      <c r="T269" s="150"/>
      <c r="U269" s="158" t="s">
        <v>50</v>
      </c>
      <c r="V269" s="150"/>
    </row>
    <row r="270" spans="2:22" ht="50.1" hidden="1" customHeight="1" outlineLevel="6">
      <c r="B270" s="126"/>
      <c r="C270" s="126"/>
      <c r="D270" s="126"/>
      <c r="E270" s="126"/>
      <c r="F270" s="116" t="s">
        <v>199</v>
      </c>
      <c r="G270" s="127"/>
      <c r="H270" s="144"/>
      <c r="I270" s="119"/>
      <c r="J270" s="277" t="s">
        <v>398</v>
      </c>
      <c r="K270" s="280" t="s">
        <v>443</v>
      </c>
      <c r="L270" s="118" t="s">
        <v>219</v>
      </c>
      <c r="M270" s="287" t="s">
        <v>440</v>
      </c>
      <c r="N270" s="287"/>
      <c r="O270" s="123" t="s">
        <v>198</v>
      </c>
      <c r="P270" s="159"/>
      <c r="Q270" s="160" t="s">
        <v>50</v>
      </c>
      <c r="R270" s="159"/>
      <c r="S270" s="123" t="s">
        <v>198</v>
      </c>
      <c r="T270" s="159"/>
      <c r="U270" s="160" t="s">
        <v>50</v>
      </c>
      <c r="V270" s="159"/>
    </row>
    <row r="271" spans="2:22" ht="50.1" hidden="1" customHeight="1" outlineLevel="6">
      <c r="B271" s="126"/>
      <c r="C271" s="126"/>
      <c r="D271" s="126"/>
      <c r="E271" s="126"/>
      <c r="F271" s="116" t="s">
        <v>199</v>
      </c>
      <c r="G271" s="127"/>
      <c r="H271" s="144"/>
      <c r="I271" s="119"/>
      <c r="J271" s="278"/>
      <c r="K271" s="281"/>
      <c r="L271" s="128" t="s">
        <v>290</v>
      </c>
      <c r="M271" s="288" t="s">
        <v>211</v>
      </c>
      <c r="N271" s="288"/>
      <c r="O271" s="123" t="s">
        <v>198</v>
      </c>
      <c r="P271" s="159"/>
      <c r="Q271" s="160" t="s">
        <v>50</v>
      </c>
      <c r="R271" s="159"/>
      <c r="S271" s="123" t="s">
        <v>198</v>
      </c>
      <c r="T271" s="159"/>
      <c r="U271" s="160" t="s">
        <v>50</v>
      </c>
      <c r="V271" s="159"/>
    </row>
    <row r="272" spans="2:22" ht="50.1" hidden="1" customHeight="1" outlineLevel="6">
      <c r="B272" s="126"/>
      <c r="C272" s="126"/>
      <c r="D272" s="126"/>
      <c r="E272" s="126"/>
      <c r="F272" s="116" t="s">
        <v>199</v>
      </c>
      <c r="G272" s="127"/>
      <c r="H272" s="144"/>
      <c r="I272" s="119"/>
      <c r="J272" s="279"/>
      <c r="K272" s="282"/>
      <c r="L272" s="118" t="s">
        <v>206</v>
      </c>
      <c r="M272" s="287" t="s">
        <v>212</v>
      </c>
      <c r="N272" s="287"/>
      <c r="O272" s="123" t="s">
        <v>198</v>
      </c>
      <c r="P272" s="159"/>
      <c r="Q272" s="160" t="s">
        <v>50</v>
      </c>
      <c r="R272" s="159"/>
      <c r="S272" s="123" t="s">
        <v>198</v>
      </c>
      <c r="T272" s="159"/>
      <c r="U272" s="160" t="s">
        <v>50</v>
      </c>
      <c r="V272" s="159"/>
    </row>
    <row r="273" spans="2:22" s="147" customFormat="1" ht="50.1" hidden="1" customHeight="1" outlineLevel="4">
      <c r="B273" s="141" t="s">
        <v>444</v>
      </c>
      <c r="C273" s="141"/>
      <c r="D273" s="141"/>
      <c r="E273" s="141"/>
      <c r="F273" s="149" t="s">
        <v>214</v>
      </c>
      <c r="G273" s="143" t="s">
        <v>445</v>
      </c>
      <c r="H273" s="144" t="s">
        <v>216</v>
      </c>
      <c r="I273" s="119" t="s">
        <v>195</v>
      </c>
      <c r="J273" s="153"/>
      <c r="K273" s="143"/>
      <c r="L273" s="143"/>
      <c r="M273" s="268"/>
      <c r="N273" s="268"/>
      <c r="O273" s="123" t="s">
        <v>198</v>
      </c>
      <c r="P273" s="150"/>
      <c r="Q273" s="158" t="s">
        <v>50</v>
      </c>
      <c r="R273" s="150"/>
      <c r="S273" s="123" t="s">
        <v>198</v>
      </c>
      <c r="T273" s="150"/>
      <c r="U273" s="158" t="s">
        <v>50</v>
      </c>
      <c r="V273" s="150"/>
    </row>
    <row r="274" spans="2:22" ht="50.1" hidden="1" customHeight="1" outlineLevel="6">
      <c r="B274" s="126"/>
      <c r="C274" s="126"/>
      <c r="D274" s="126"/>
      <c r="E274" s="126"/>
      <c r="F274" s="116" t="s">
        <v>199</v>
      </c>
      <c r="G274" s="127"/>
      <c r="H274" s="144"/>
      <c r="I274" s="119"/>
      <c r="J274" s="277" t="s">
        <v>398</v>
      </c>
      <c r="K274" s="280" t="s">
        <v>446</v>
      </c>
      <c r="L274" s="118" t="s">
        <v>219</v>
      </c>
      <c r="M274" s="287" t="s">
        <v>440</v>
      </c>
      <c r="N274" s="287"/>
      <c r="O274" s="123" t="s">
        <v>198</v>
      </c>
      <c r="P274" s="159"/>
      <c r="Q274" s="160" t="s">
        <v>50</v>
      </c>
      <c r="R274" s="159"/>
      <c r="S274" s="123" t="s">
        <v>198</v>
      </c>
      <c r="T274" s="159"/>
      <c r="U274" s="160" t="s">
        <v>50</v>
      </c>
      <c r="V274" s="159"/>
    </row>
    <row r="275" spans="2:22" ht="50.1" hidden="1" customHeight="1" outlineLevel="6">
      <c r="B275" s="126"/>
      <c r="C275" s="126"/>
      <c r="D275" s="126"/>
      <c r="E275" s="126"/>
      <c r="F275" s="116" t="s">
        <v>199</v>
      </c>
      <c r="G275" s="127"/>
      <c r="H275" s="144"/>
      <c r="I275" s="119"/>
      <c r="J275" s="278"/>
      <c r="K275" s="281"/>
      <c r="L275" s="128" t="s">
        <v>290</v>
      </c>
      <c r="M275" s="288" t="s">
        <v>211</v>
      </c>
      <c r="N275" s="288"/>
      <c r="O275" s="123" t="s">
        <v>198</v>
      </c>
      <c r="P275" s="159"/>
      <c r="Q275" s="160" t="s">
        <v>50</v>
      </c>
      <c r="R275" s="159"/>
      <c r="S275" s="123" t="s">
        <v>198</v>
      </c>
      <c r="T275" s="159"/>
      <c r="U275" s="160" t="s">
        <v>50</v>
      </c>
      <c r="V275" s="159"/>
    </row>
    <row r="276" spans="2:22" ht="50.1" hidden="1" customHeight="1" outlineLevel="6">
      <c r="B276" s="126"/>
      <c r="C276" s="126"/>
      <c r="D276" s="126"/>
      <c r="E276" s="126"/>
      <c r="F276" s="116" t="s">
        <v>199</v>
      </c>
      <c r="G276" s="127"/>
      <c r="H276" s="144"/>
      <c r="I276" s="119"/>
      <c r="J276" s="279"/>
      <c r="K276" s="282"/>
      <c r="L276" s="118" t="s">
        <v>206</v>
      </c>
      <c r="M276" s="287" t="s">
        <v>212</v>
      </c>
      <c r="N276" s="287"/>
      <c r="O276" s="123" t="s">
        <v>198</v>
      </c>
      <c r="P276" s="159"/>
      <c r="Q276" s="160" t="s">
        <v>50</v>
      </c>
      <c r="R276" s="159"/>
      <c r="S276" s="123" t="s">
        <v>198</v>
      </c>
      <c r="T276" s="159"/>
      <c r="U276" s="160" t="s">
        <v>50</v>
      </c>
      <c r="V276" s="159"/>
    </row>
    <row r="277" spans="2:22" s="147" customFormat="1" ht="50.1" hidden="1" customHeight="1" outlineLevel="4">
      <c r="B277" s="141" t="s">
        <v>447</v>
      </c>
      <c r="C277" s="141"/>
      <c r="D277" s="141"/>
      <c r="E277" s="141"/>
      <c r="F277" s="149" t="s">
        <v>214</v>
      </c>
      <c r="G277" s="143" t="s">
        <v>448</v>
      </c>
      <c r="H277" s="144" t="s">
        <v>216</v>
      </c>
      <c r="I277" s="119" t="s">
        <v>195</v>
      </c>
      <c r="J277" s="153"/>
      <c r="K277" s="143"/>
      <c r="L277" s="143"/>
      <c r="M277" s="268"/>
      <c r="N277" s="268"/>
      <c r="O277" s="123" t="s">
        <v>198</v>
      </c>
      <c r="P277" s="150"/>
      <c r="Q277" s="158" t="s">
        <v>50</v>
      </c>
      <c r="R277" s="150"/>
      <c r="S277" s="123" t="s">
        <v>198</v>
      </c>
      <c r="T277" s="150"/>
      <c r="U277" s="158" t="s">
        <v>50</v>
      </c>
      <c r="V277" s="150"/>
    </row>
    <row r="278" spans="2:22" ht="50.1" hidden="1" customHeight="1" outlineLevel="6">
      <c r="B278" s="126"/>
      <c r="C278" s="126"/>
      <c r="D278" s="126"/>
      <c r="E278" s="126"/>
      <c r="F278" s="116" t="s">
        <v>199</v>
      </c>
      <c r="G278" s="127"/>
      <c r="H278" s="144"/>
      <c r="I278" s="119"/>
      <c r="J278" s="277" t="s">
        <v>398</v>
      </c>
      <c r="K278" s="280" t="s">
        <v>449</v>
      </c>
      <c r="L278" s="118" t="s">
        <v>219</v>
      </c>
      <c r="M278" s="287" t="s">
        <v>440</v>
      </c>
      <c r="N278" s="287"/>
      <c r="O278" s="123" t="s">
        <v>198</v>
      </c>
      <c r="P278" s="159"/>
      <c r="Q278" s="160" t="s">
        <v>50</v>
      </c>
      <c r="R278" s="159"/>
      <c r="S278" s="123" t="s">
        <v>198</v>
      </c>
      <c r="T278" s="159"/>
      <c r="U278" s="160" t="s">
        <v>50</v>
      </c>
      <c r="V278" s="159"/>
    </row>
    <row r="279" spans="2:22" ht="50.1" hidden="1" customHeight="1" outlineLevel="6">
      <c r="B279" s="126"/>
      <c r="C279" s="126"/>
      <c r="D279" s="126"/>
      <c r="E279" s="126"/>
      <c r="F279" s="116" t="s">
        <v>199</v>
      </c>
      <c r="G279" s="127"/>
      <c r="H279" s="144"/>
      <c r="I279" s="119"/>
      <c r="J279" s="278"/>
      <c r="K279" s="281"/>
      <c r="L279" s="128" t="s">
        <v>290</v>
      </c>
      <c r="M279" s="288" t="s">
        <v>211</v>
      </c>
      <c r="N279" s="288"/>
      <c r="O279" s="123" t="s">
        <v>198</v>
      </c>
      <c r="P279" s="159"/>
      <c r="Q279" s="160" t="s">
        <v>50</v>
      </c>
      <c r="R279" s="159"/>
      <c r="S279" s="123" t="s">
        <v>198</v>
      </c>
      <c r="T279" s="159"/>
      <c r="U279" s="160" t="s">
        <v>50</v>
      </c>
      <c r="V279" s="159"/>
    </row>
    <row r="280" spans="2:22" ht="50.1" hidden="1" customHeight="1" outlineLevel="6">
      <c r="B280" s="126"/>
      <c r="C280" s="126"/>
      <c r="D280" s="126"/>
      <c r="E280" s="126"/>
      <c r="F280" s="116" t="s">
        <v>199</v>
      </c>
      <c r="G280" s="127"/>
      <c r="H280" s="144"/>
      <c r="I280" s="119"/>
      <c r="J280" s="279"/>
      <c r="K280" s="282"/>
      <c r="L280" s="118" t="s">
        <v>206</v>
      </c>
      <c r="M280" s="287" t="s">
        <v>212</v>
      </c>
      <c r="N280" s="287"/>
      <c r="O280" s="123" t="s">
        <v>198</v>
      </c>
      <c r="P280" s="159"/>
      <c r="Q280" s="160" t="s">
        <v>50</v>
      </c>
      <c r="R280" s="159"/>
      <c r="S280" s="123" t="s">
        <v>198</v>
      </c>
      <c r="T280" s="159"/>
      <c r="U280" s="160" t="s">
        <v>50</v>
      </c>
      <c r="V280" s="159"/>
    </row>
    <row r="281" spans="2:22" s="147" customFormat="1" ht="50.1" hidden="1" customHeight="1" outlineLevel="4">
      <c r="B281" s="141" t="s">
        <v>450</v>
      </c>
      <c r="C281" s="141"/>
      <c r="D281" s="141"/>
      <c r="E281" s="141"/>
      <c r="F281" s="149" t="s">
        <v>214</v>
      </c>
      <c r="G281" s="143" t="s">
        <v>451</v>
      </c>
      <c r="H281" s="144" t="s">
        <v>216</v>
      </c>
      <c r="I281" s="119" t="s">
        <v>195</v>
      </c>
      <c r="J281" s="153"/>
      <c r="K281" s="143"/>
      <c r="L281" s="143"/>
      <c r="M281" s="268"/>
      <c r="N281" s="268"/>
      <c r="O281" s="123" t="s">
        <v>198</v>
      </c>
      <c r="P281" s="150"/>
      <c r="Q281" s="158" t="s">
        <v>50</v>
      </c>
      <c r="R281" s="150"/>
      <c r="S281" s="123" t="s">
        <v>198</v>
      </c>
      <c r="T281" s="150"/>
      <c r="U281" s="158" t="s">
        <v>50</v>
      </c>
      <c r="V281" s="150"/>
    </row>
    <row r="282" spans="2:22" ht="50.1" hidden="1" customHeight="1" outlineLevel="6">
      <c r="B282" s="126"/>
      <c r="C282" s="126"/>
      <c r="D282" s="126"/>
      <c r="E282" s="126"/>
      <c r="F282" s="116" t="s">
        <v>199</v>
      </c>
      <c r="G282" s="127"/>
      <c r="H282" s="144"/>
      <c r="I282" s="148"/>
      <c r="J282" s="277" t="s">
        <v>398</v>
      </c>
      <c r="K282" s="280" t="s">
        <v>452</v>
      </c>
      <c r="L282" s="118" t="s">
        <v>219</v>
      </c>
      <c r="M282" s="287" t="s">
        <v>440</v>
      </c>
      <c r="N282" s="287"/>
      <c r="O282" s="123" t="s">
        <v>198</v>
      </c>
      <c r="P282" s="159"/>
      <c r="Q282" s="160" t="s">
        <v>50</v>
      </c>
      <c r="R282" s="159"/>
      <c r="S282" s="123" t="s">
        <v>198</v>
      </c>
      <c r="T282" s="159"/>
      <c r="U282" s="160" t="s">
        <v>50</v>
      </c>
      <c r="V282" s="159"/>
    </row>
    <row r="283" spans="2:22" ht="50.1" hidden="1" customHeight="1" outlineLevel="6">
      <c r="B283" s="126"/>
      <c r="C283" s="126"/>
      <c r="D283" s="126"/>
      <c r="E283" s="126"/>
      <c r="F283" s="116" t="s">
        <v>199</v>
      </c>
      <c r="G283" s="127"/>
      <c r="H283" s="144"/>
      <c r="I283" s="148"/>
      <c r="J283" s="278"/>
      <c r="K283" s="281"/>
      <c r="L283" s="128" t="s">
        <v>290</v>
      </c>
      <c r="M283" s="288" t="s">
        <v>211</v>
      </c>
      <c r="N283" s="288"/>
      <c r="O283" s="123" t="s">
        <v>198</v>
      </c>
      <c r="P283" s="159"/>
      <c r="Q283" s="160" t="s">
        <v>50</v>
      </c>
      <c r="R283" s="159"/>
      <c r="S283" s="123" t="s">
        <v>198</v>
      </c>
      <c r="T283" s="159"/>
      <c r="U283" s="160" t="s">
        <v>50</v>
      </c>
      <c r="V283" s="159"/>
    </row>
    <row r="284" spans="2:22" ht="50.1" hidden="1" customHeight="1" outlineLevel="6">
      <c r="B284" s="126"/>
      <c r="C284" s="126"/>
      <c r="D284" s="126"/>
      <c r="E284" s="126"/>
      <c r="F284" s="116" t="s">
        <v>199</v>
      </c>
      <c r="G284" s="127"/>
      <c r="H284" s="144"/>
      <c r="I284" s="148"/>
      <c r="J284" s="279"/>
      <c r="K284" s="282"/>
      <c r="L284" s="118" t="s">
        <v>206</v>
      </c>
      <c r="M284" s="287" t="s">
        <v>212</v>
      </c>
      <c r="N284" s="287"/>
      <c r="O284" s="123" t="s">
        <v>198</v>
      </c>
      <c r="P284" s="159"/>
      <c r="Q284" s="160" t="s">
        <v>50</v>
      </c>
      <c r="R284" s="159"/>
      <c r="S284" s="123" t="s">
        <v>198</v>
      </c>
      <c r="T284" s="159"/>
      <c r="U284" s="160" t="s">
        <v>50</v>
      </c>
      <c r="V284" s="159"/>
    </row>
    <row r="285" spans="2:22" s="147" customFormat="1" ht="50.1" hidden="1" customHeight="1" outlineLevel="4">
      <c r="B285" s="141" t="s">
        <v>453</v>
      </c>
      <c r="C285" s="141"/>
      <c r="D285" s="141"/>
      <c r="E285" s="141"/>
      <c r="F285" s="142" t="s">
        <v>231</v>
      </c>
      <c r="G285" s="143" t="s">
        <v>454</v>
      </c>
      <c r="H285" s="144" t="s">
        <v>194</v>
      </c>
      <c r="I285" s="119" t="s">
        <v>195</v>
      </c>
      <c r="J285" s="153"/>
      <c r="K285" s="143"/>
      <c r="L285" s="143"/>
      <c r="M285" s="268"/>
      <c r="N285" s="268"/>
      <c r="O285" s="123" t="s">
        <v>198</v>
      </c>
      <c r="P285" s="150"/>
      <c r="Q285" s="158" t="s">
        <v>50</v>
      </c>
      <c r="R285" s="150"/>
      <c r="S285" s="123" t="s">
        <v>198</v>
      </c>
      <c r="T285" s="150"/>
      <c r="U285" s="158" t="s">
        <v>50</v>
      </c>
      <c r="V285" s="150"/>
    </row>
    <row r="286" spans="2:22" ht="50.1" hidden="1" customHeight="1" outlineLevel="6">
      <c r="B286" s="126"/>
      <c r="C286" s="126"/>
      <c r="D286" s="126"/>
      <c r="E286" s="126"/>
      <c r="F286" s="116" t="s">
        <v>199</v>
      </c>
      <c r="G286" s="127"/>
      <c r="H286" s="144"/>
      <c r="I286" s="119"/>
      <c r="J286" s="277" t="s">
        <v>393</v>
      </c>
      <c r="K286" s="280" t="s">
        <v>455</v>
      </c>
      <c r="L286" s="118" t="s">
        <v>219</v>
      </c>
      <c r="M286" s="287" t="s">
        <v>203</v>
      </c>
      <c r="N286" s="287"/>
      <c r="O286" s="123" t="s">
        <v>198</v>
      </c>
      <c r="P286" s="159"/>
      <c r="Q286" s="160" t="s">
        <v>50</v>
      </c>
      <c r="R286" s="159"/>
      <c r="S286" s="123" t="s">
        <v>198</v>
      </c>
      <c r="T286" s="159"/>
      <c r="U286" s="160" t="s">
        <v>50</v>
      </c>
      <c r="V286" s="159"/>
    </row>
    <row r="287" spans="2:22" ht="50.1" hidden="1" customHeight="1" outlineLevel="6">
      <c r="B287" s="126"/>
      <c r="C287" s="126"/>
      <c r="D287" s="126"/>
      <c r="E287" s="126"/>
      <c r="F287" s="116" t="s">
        <v>199</v>
      </c>
      <c r="G287" s="127"/>
      <c r="H287" s="144"/>
      <c r="I287" s="119"/>
      <c r="J287" s="278"/>
      <c r="K287" s="281"/>
      <c r="L287" s="128" t="s">
        <v>290</v>
      </c>
      <c r="M287" s="288" t="s">
        <v>211</v>
      </c>
      <c r="N287" s="288"/>
      <c r="O287" s="123" t="s">
        <v>198</v>
      </c>
      <c r="P287" s="159"/>
      <c r="Q287" s="160" t="s">
        <v>50</v>
      </c>
      <c r="R287" s="159"/>
      <c r="S287" s="123" t="s">
        <v>198</v>
      </c>
      <c r="T287" s="159"/>
      <c r="U287" s="160" t="s">
        <v>50</v>
      </c>
      <c r="V287" s="159"/>
    </row>
    <row r="288" spans="2:22" ht="79.5" hidden="1" customHeight="1" outlineLevel="6">
      <c r="B288" s="126"/>
      <c r="C288" s="126"/>
      <c r="D288" s="126"/>
      <c r="E288" s="126"/>
      <c r="F288" s="116" t="s">
        <v>199</v>
      </c>
      <c r="G288" s="127"/>
      <c r="H288" s="144"/>
      <c r="I288" s="119"/>
      <c r="J288" s="279"/>
      <c r="K288" s="282"/>
      <c r="L288" s="118" t="s">
        <v>206</v>
      </c>
      <c r="M288" s="287" t="s">
        <v>410</v>
      </c>
      <c r="N288" s="287"/>
      <c r="O288" s="123" t="s">
        <v>198</v>
      </c>
      <c r="P288" s="159"/>
      <c r="Q288" s="160" t="s">
        <v>50</v>
      </c>
      <c r="R288" s="159"/>
      <c r="S288" s="123" t="s">
        <v>198</v>
      </c>
      <c r="T288" s="159"/>
      <c r="U288" s="160" t="s">
        <v>50</v>
      </c>
      <c r="V288" s="159"/>
    </row>
    <row r="289" spans="2:22" s="147" customFormat="1" ht="50.1" hidden="1" customHeight="1" outlineLevel="4">
      <c r="B289" s="141" t="s">
        <v>456</v>
      </c>
      <c r="C289" s="141"/>
      <c r="D289" s="141"/>
      <c r="E289" s="141"/>
      <c r="F289" s="149" t="s">
        <v>214</v>
      </c>
      <c r="G289" s="143" t="s">
        <v>457</v>
      </c>
      <c r="H289" s="144" t="s">
        <v>216</v>
      </c>
      <c r="I289" s="119" t="s">
        <v>195</v>
      </c>
      <c r="J289" s="153"/>
      <c r="K289" s="143"/>
      <c r="L289" s="143"/>
      <c r="M289" s="268"/>
      <c r="N289" s="268"/>
      <c r="O289" s="123" t="s">
        <v>198</v>
      </c>
      <c r="P289" s="150"/>
      <c r="Q289" s="158" t="s">
        <v>50</v>
      </c>
      <c r="R289" s="150"/>
      <c r="S289" s="123" t="s">
        <v>198</v>
      </c>
      <c r="T289" s="150"/>
      <c r="U289" s="158" t="s">
        <v>50</v>
      </c>
      <c r="V289" s="150"/>
    </row>
    <row r="290" spans="2:22" ht="50.1" hidden="1" customHeight="1" outlineLevel="6">
      <c r="B290" s="126"/>
      <c r="C290" s="126"/>
      <c r="D290" s="126"/>
      <c r="E290" s="126"/>
      <c r="F290" s="116" t="s">
        <v>199</v>
      </c>
      <c r="G290" s="127"/>
      <c r="H290" s="144"/>
      <c r="I290" s="119"/>
      <c r="J290" s="277" t="s">
        <v>458</v>
      </c>
      <c r="K290" s="280" t="s">
        <v>459</v>
      </c>
      <c r="L290" s="118" t="s">
        <v>219</v>
      </c>
      <c r="M290" s="287" t="s">
        <v>203</v>
      </c>
      <c r="N290" s="287"/>
      <c r="O290" s="123" t="s">
        <v>198</v>
      </c>
      <c r="P290" s="159"/>
      <c r="Q290" s="160" t="s">
        <v>50</v>
      </c>
      <c r="R290" s="159"/>
      <c r="S290" s="123" t="s">
        <v>198</v>
      </c>
      <c r="T290" s="159"/>
      <c r="U290" s="160" t="s">
        <v>50</v>
      </c>
      <c r="V290" s="159"/>
    </row>
    <row r="291" spans="2:22" ht="50.1" hidden="1" customHeight="1" outlineLevel="6">
      <c r="B291" s="161"/>
      <c r="C291" s="161"/>
      <c r="D291" s="161"/>
      <c r="E291" s="161"/>
      <c r="F291" s="116" t="s">
        <v>199</v>
      </c>
      <c r="G291" s="127"/>
      <c r="H291" s="144"/>
      <c r="I291" s="119"/>
      <c r="J291" s="278"/>
      <c r="K291" s="281"/>
      <c r="L291" s="128" t="s">
        <v>290</v>
      </c>
      <c r="M291" s="288" t="s">
        <v>211</v>
      </c>
      <c r="N291" s="288"/>
      <c r="O291" s="123" t="s">
        <v>198</v>
      </c>
      <c r="P291" s="159"/>
      <c r="Q291" s="160" t="s">
        <v>50</v>
      </c>
      <c r="R291" s="159"/>
      <c r="S291" s="123" t="s">
        <v>198</v>
      </c>
      <c r="T291" s="159"/>
      <c r="U291" s="160" t="s">
        <v>50</v>
      </c>
      <c r="V291" s="159"/>
    </row>
    <row r="292" spans="2:22" ht="50.1" hidden="1" customHeight="1" outlineLevel="6">
      <c r="B292" s="126"/>
      <c r="C292" s="126"/>
      <c r="D292" s="126"/>
      <c r="E292" s="126"/>
      <c r="F292" s="116" t="s">
        <v>199</v>
      </c>
      <c r="G292" s="127"/>
      <c r="H292" s="144"/>
      <c r="I292" s="119"/>
      <c r="J292" s="279"/>
      <c r="K292" s="282"/>
      <c r="L292" s="118" t="s">
        <v>206</v>
      </c>
      <c r="M292" s="287" t="s">
        <v>207</v>
      </c>
      <c r="N292" s="287"/>
      <c r="O292" s="123" t="s">
        <v>198</v>
      </c>
      <c r="P292" s="159"/>
      <c r="Q292" s="160" t="s">
        <v>50</v>
      </c>
      <c r="R292" s="159"/>
      <c r="S292" s="123" t="s">
        <v>198</v>
      </c>
      <c r="T292" s="159"/>
      <c r="U292" s="160" t="s">
        <v>50</v>
      </c>
      <c r="V292" s="159"/>
    </row>
    <row r="293" spans="2:22" s="147" customFormat="1" ht="50.1" hidden="1" customHeight="1" outlineLevel="4">
      <c r="B293" s="141" t="s">
        <v>460</v>
      </c>
      <c r="C293" s="141"/>
      <c r="D293" s="141"/>
      <c r="E293" s="141"/>
      <c r="F293" s="149" t="s">
        <v>214</v>
      </c>
      <c r="G293" s="143" t="s">
        <v>461</v>
      </c>
      <c r="H293" s="144" t="s">
        <v>216</v>
      </c>
      <c r="I293" s="119" t="s">
        <v>195</v>
      </c>
      <c r="J293" s="153"/>
      <c r="K293" s="143"/>
      <c r="L293" s="143"/>
      <c r="M293" s="268"/>
      <c r="N293" s="268"/>
      <c r="O293" s="123" t="s">
        <v>198</v>
      </c>
      <c r="P293" s="150"/>
      <c r="Q293" s="158" t="s">
        <v>50</v>
      </c>
      <c r="R293" s="150"/>
      <c r="S293" s="123" t="s">
        <v>198</v>
      </c>
      <c r="T293" s="150"/>
      <c r="U293" s="158" t="s">
        <v>50</v>
      </c>
      <c r="V293" s="150"/>
    </row>
    <row r="294" spans="2:22" ht="50.1" hidden="1" customHeight="1" outlineLevel="6">
      <c r="B294" s="126"/>
      <c r="C294" s="126"/>
      <c r="D294" s="126"/>
      <c r="E294" s="126"/>
      <c r="F294" s="116" t="s">
        <v>199</v>
      </c>
      <c r="G294" s="127"/>
      <c r="H294" s="144"/>
      <c r="I294" s="119"/>
      <c r="J294" s="277" t="s">
        <v>458</v>
      </c>
      <c r="K294" s="280" t="s">
        <v>462</v>
      </c>
      <c r="L294" s="118" t="s">
        <v>219</v>
      </c>
      <c r="M294" s="287" t="s">
        <v>203</v>
      </c>
      <c r="N294" s="287"/>
      <c r="O294" s="123" t="s">
        <v>198</v>
      </c>
      <c r="P294" s="159"/>
      <c r="Q294" s="160" t="s">
        <v>50</v>
      </c>
      <c r="R294" s="159"/>
      <c r="S294" s="123" t="s">
        <v>198</v>
      </c>
      <c r="T294" s="159"/>
      <c r="U294" s="160" t="s">
        <v>50</v>
      </c>
      <c r="V294" s="159"/>
    </row>
    <row r="295" spans="2:22" ht="50.1" hidden="1" customHeight="1" outlineLevel="6">
      <c r="B295" s="126"/>
      <c r="C295" s="126"/>
      <c r="D295" s="126"/>
      <c r="E295" s="126"/>
      <c r="F295" s="116" t="s">
        <v>199</v>
      </c>
      <c r="G295" s="127"/>
      <c r="H295" s="144"/>
      <c r="I295" s="119"/>
      <c r="J295" s="278"/>
      <c r="K295" s="281"/>
      <c r="L295" s="128" t="s">
        <v>290</v>
      </c>
      <c r="M295" s="288" t="s">
        <v>211</v>
      </c>
      <c r="N295" s="288"/>
      <c r="O295" s="123" t="s">
        <v>198</v>
      </c>
      <c r="P295" s="159"/>
      <c r="Q295" s="160" t="s">
        <v>50</v>
      </c>
      <c r="R295" s="159"/>
      <c r="S295" s="123" t="s">
        <v>198</v>
      </c>
      <c r="T295" s="159"/>
      <c r="U295" s="160" t="s">
        <v>50</v>
      </c>
      <c r="V295" s="159"/>
    </row>
    <row r="296" spans="2:22" ht="50.1" hidden="1" customHeight="1" outlineLevel="6">
      <c r="B296" s="126"/>
      <c r="C296" s="126"/>
      <c r="D296" s="126"/>
      <c r="E296" s="126"/>
      <c r="F296" s="116" t="s">
        <v>199</v>
      </c>
      <c r="G296" s="127"/>
      <c r="H296" s="144" t="s">
        <v>194</v>
      </c>
      <c r="I296" s="119"/>
      <c r="J296" s="279"/>
      <c r="K296" s="282"/>
      <c r="L296" s="118" t="s">
        <v>206</v>
      </c>
      <c r="M296" s="287" t="s">
        <v>212</v>
      </c>
      <c r="N296" s="287"/>
      <c r="O296" s="123" t="s">
        <v>198</v>
      </c>
      <c r="P296" s="159"/>
      <c r="Q296" s="160" t="s">
        <v>50</v>
      </c>
      <c r="R296" s="159"/>
      <c r="S296" s="123" t="s">
        <v>198</v>
      </c>
      <c r="T296" s="159"/>
      <c r="U296" s="160" t="s">
        <v>50</v>
      </c>
      <c r="V296" s="159"/>
    </row>
    <row r="297" spans="2:22" s="147" customFormat="1" ht="50.1" hidden="1" customHeight="1" outlineLevel="4">
      <c r="B297" s="163" t="s">
        <v>463</v>
      </c>
      <c r="C297" s="163"/>
      <c r="D297" s="163"/>
      <c r="E297" s="163"/>
      <c r="F297" s="157" t="s">
        <v>214</v>
      </c>
      <c r="G297" s="164" t="s">
        <v>464</v>
      </c>
      <c r="H297" s="144" t="s">
        <v>233</v>
      </c>
      <c r="I297" s="119" t="s">
        <v>195</v>
      </c>
      <c r="J297" s="153"/>
      <c r="K297" s="143"/>
      <c r="L297" s="143"/>
      <c r="M297" s="268"/>
      <c r="N297" s="268"/>
      <c r="O297" s="123" t="s">
        <v>198</v>
      </c>
      <c r="P297" s="150"/>
      <c r="Q297" s="158" t="s">
        <v>50</v>
      </c>
      <c r="R297" s="150"/>
      <c r="S297" s="123" t="s">
        <v>198</v>
      </c>
      <c r="T297" s="150"/>
      <c r="U297" s="158" t="s">
        <v>50</v>
      </c>
      <c r="V297" s="150"/>
    </row>
    <row r="298" spans="2:22" ht="50.1" hidden="1" customHeight="1" outlineLevel="6">
      <c r="B298" s="126"/>
      <c r="C298" s="126"/>
      <c r="D298" s="126"/>
      <c r="E298" s="126"/>
      <c r="F298" s="116" t="s">
        <v>199</v>
      </c>
      <c r="G298" s="127"/>
      <c r="H298" s="144"/>
      <c r="I298" s="119"/>
      <c r="J298" s="277" t="s">
        <v>458</v>
      </c>
      <c r="K298" s="280" t="s">
        <v>332</v>
      </c>
      <c r="L298" s="118" t="s">
        <v>219</v>
      </c>
      <c r="M298" s="287" t="s">
        <v>465</v>
      </c>
      <c r="N298" s="287"/>
      <c r="O298" s="123" t="s">
        <v>198</v>
      </c>
      <c r="P298" s="159"/>
      <c r="Q298" s="160" t="s">
        <v>50</v>
      </c>
      <c r="R298" s="159"/>
      <c r="S298" s="123" t="s">
        <v>198</v>
      </c>
      <c r="T298" s="159"/>
      <c r="U298" s="160" t="s">
        <v>50</v>
      </c>
      <c r="V298" s="159"/>
    </row>
    <row r="299" spans="2:22" ht="50.1" hidden="1" customHeight="1" outlineLevel="6">
      <c r="B299" s="126"/>
      <c r="C299" s="126"/>
      <c r="D299" s="126"/>
      <c r="E299" s="126"/>
      <c r="F299" s="116" t="s">
        <v>199</v>
      </c>
      <c r="G299" s="127"/>
      <c r="H299" s="144"/>
      <c r="I299" s="119"/>
      <c r="J299" s="278"/>
      <c r="K299" s="281"/>
      <c r="L299" s="128" t="s">
        <v>290</v>
      </c>
      <c r="M299" s="288" t="s">
        <v>211</v>
      </c>
      <c r="N299" s="288"/>
      <c r="O299" s="123" t="s">
        <v>198</v>
      </c>
      <c r="P299" s="159"/>
      <c r="Q299" s="160" t="s">
        <v>50</v>
      </c>
      <c r="R299" s="159"/>
      <c r="S299" s="123" t="s">
        <v>198</v>
      </c>
      <c r="T299" s="159"/>
      <c r="U299" s="160" t="s">
        <v>50</v>
      </c>
      <c r="V299" s="159"/>
    </row>
    <row r="300" spans="2:22" ht="50.1" hidden="1" customHeight="1" outlineLevel="6">
      <c r="B300" s="126"/>
      <c r="C300" s="126"/>
      <c r="D300" s="126"/>
      <c r="E300" s="126"/>
      <c r="F300" s="116" t="s">
        <v>199</v>
      </c>
      <c r="G300" s="127"/>
      <c r="H300" s="144"/>
      <c r="I300" s="119"/>
      <c r="J300" s="279"/>
      <c r="K300" s="282"/>
      <c r="L300" s="118" t="s">
        <v>206</v>
      </c>
      <c r="M300" s="287" t="s">
        <v>207</v>
      </c>
      <c r="N300" s="287"/>
      <c r="O300" s="123" t="s">
        <v>198</v>
      </c>
      <c r="P300" s="159"/>
      <c r="Q300" s="160" t="s">
        <v>50</v>
      </c>
      <c r="R300" s="159"/>
      <c r="S300" s="123" t="s">
        <v>198</v>
      </c>
      <c r="T300" s="159"/>
      <c r="U300" s="160" t="s">
        <v>50</v>
      </c>
      <c r="V300" s="159"/>
    </row>
    <row r="301" spans="2:22" s="147" customFormat="1" ht="50.1" hidden="1" customHeight="1" outlineLevel="4">
      <c r="B301" s="162" t="s">
        <v>466</v>
      </c>
      <c r="C301" s="162"/>
      <c r="D301" s="162"/>
      <c r="E301" s="162"/>
      <c r="F301" s="157" t="s">
        <v>214</v>
      </c>
      <c r="G301" s="164" t="s">
        <v>467</v>
      </c>
      <c r="H301" s="144" t="s">
        <v>233</v>
      </c>
      <c r="I301" s="119" t="s">
        <v>195</v>
      </c>
      <c r="J301" s="153"/>
      <c r="K301" s="143"/>
      <c r="L301" s="143"/>
      <c r="M301" s="268"/>
      <c r="N301" s="268"/>
      <c r="O301" s="123" t="s">
        <v>198</v>
      </c>
      <c r="P301" s="150"/>
      <c r="Q301" s="158" t="s">
        <v>50</v>
      </c>
      <c r="R301" s="150"/>
      <c r="S301" s="123" t="s">
        <v>198</v>
      </c>
      <c r="T301" s="150"/>
      <c r="U301" s="158" t="s">
        <v>50</v>
      </c>
      <c r="V301" s="150"/>
    </row>
    <row r="302" spans="2:22" ht="50.1" hidden="1" customHeight="1" outlineLevel="6">
      <c r="B302" s="126"/>
      <c r="C302" s="126"/>
      <c r="D302" s="126"/>
      <c r="E302" s="126"/>
      <c r="F302" s="116" t="s">
        <v>199</v>
      </c>
      <c r="G302" s="127"/>
      <c r="H302" s="144"/>
      <c r="I302" s="119"/>
      <c r="J302" s="277" t="s">
        <v>458</v>
      </c>
      <c r="K302" s="280" t="s">
        <v>468</v>
      </c>
      <c r="L302" s="118" t="s">
        <v>219</v>
      </c>
      <c r="M302" s="287" t="s">
        <v>465</v>
      </c>
      <c r="N302" s="287"/>
      <c r="O302" s="123" t="s">
        <v>198</v>
      </c>
      <c r="P302" s="159"/>
      <c r="Q302" s="160" t="s">
        <v>50</v>
      </c>
      <c r="R302" s="159"/>
      <c r="S302" s="123" t="s">
        <v>198</v>
      </c>
      <c r="T302" s="159"/>
      <c r="U302" s="160" t="s">
        <v>50</v>
      </c>
      <c r="V302" s="159"/>
    </row>
    <row r="303" spans="2:22" ht="50.1" hidden="1" customHeight="1" outlineLevel="6">
      <c r="B303" s="126"/>
      <c r="C303" s="126"/>
      <c r="D303" s="126"/>
      <c r="E303" s="126"/>
      <c r="F303" s="116" t="s">
        <v>199</v>
      </c>
      <c r="G303" s="127"/>
      <c r="H303" s="144"/>
      <c r="I303" s="119"/>
      <c r="J303" s="278"/>
      <c r="K303" s="281"/>
      <c r="L303" s="128" t="s">
        <v>204</v>
      </c>
      <c r="M303" s="288" t="s">
        <v>211</v>
      </c>
      <c r="N303" s="288"/>
      <c r="O303" s="123" t="s">
        <v>198</v>
      </c>
      <c r="P303" s="159"/>
      <c r="Q303" s="160" t="s">
        <v>50</v>
      </c>
      <c r="R303" s="159"/>
      <c r="S303" s="123" t="s">
        <v>198</v>
      </c>
      <c r="T303" s="159"/>
      <c r="U303" s="160" t="s">
        <v>50</v>
      </c>
      <c r="V303" s="159"/>
    </row>
    <row r="304" spans="2:22" ht="50.1" hidden="1" customHeight="1" outlineLevel="6">
      <c r="B304" s="126"/>
      <c r="C304" s="126"/>
      <c r="D304" s="126"/>
      <c r="E304" s="126"/>
      <c r="F304" s="116" t="s">
        <v>199</v>
      </c>
      <c r="G304" s="127"/>
      <c r="H304" s="144"/>
      <c r="I304" s="119"/>
      <c r="J304" s="279"/>
      <c r="K304" s="282"/>
      <c r="L304" s="118" t="s">
        <v>206</v>
      </c>
      <c r="M304" s="287" t="s">
        <v>207</v>
      </c>
      <c r="N304" s="287"/>
      <c r="O304" s="123" t="s">
        <v>198</v>
      </c>
      <c r="P304" s="159"/>
      <c r="Q304" s="160" t="s">
        <v>50</v>
      </c>
      <c r="R304" s="159"/>
      <c r="S304" s="123" t="s">
        <v>198</v>
      </c>
      <c r="T304" s="159"/>
      <c r="U304" s="160" t="s">
        <v>50</v>
      </c>
      <c r="V304" s="159"/>
    </row>
    <row r="305" spans="2:22" s="147" customFormat="1" ht="50.1" hidden="1" customHeight="1" outlineLevel="4">
      <c r="B305" s="141" t="s">
        <v>469</v>
      </c>
      <c r="C305" s="141"/>
      <c r="D305" s="141"/>
      <c r="E305" s="141"/>
      <c r="F305" s="149" t="s">
        <v>214</v>
      </c>
      <c r="G305" s="143" t="s">
        <v>470</v>
      </c>
      <c r="H305" s="144" t="s">
        <v>233</v>
      </c>
      <c r="I305" s="119" t="s">
        <v>195</v>
      </c>
      <c r="J305" s="153"/>
      <c r="K305" s="143"/>
      <c r="L305" s="143"/>
      <c r="M305" s="268"/>
      <c r="N305" s="268"/>
      <c r="O305" s="123" t="s">
        <v>198</v>
      </c>
      <c r="P305" s="150"/>
      <c r="Q305" s="158" t="s">
        <v>50</v>
      </c>
      <c r="R305" s="150"/>
      <c r="S305" s="123" t="s">
        <v>198</v>
      </c>
      <c r="T305" s="150"/>
      <c r="U305" s="158" t="s">
        <v>50</v>
      </c>
      <c r="V305" s="150"/>
    </row>
    <row r="306" spans="2:22" ht="50.1" hidden="1" customHeight="1" outlineLevel="6">
      <c r="B306" s="126"/>
      <c r="C306" s="126"/>
      <c r="D306" s="126"/>
      <c r="E306" s="126"/>
      <c r="F306" s="116" t="s">
        <v>199</v>
      </c>
      <c r="G306" s="127"/>
      <c r="H306" s="144"/>
      <c r="I306" s="119"/>
      <c r="J306" s="277" t="s">
        <v>458</v>
      </c>
      <c r="K306" s="280" t="s">
        <v>415</v>
      </c>
      <c r="L306" s="118" t="s">
        <v>219</v>
      </c>
      <c r="M306" s="287" t="s">
        <v>203</v>
      </c>
      <c r="N306" s="287"/>
      <c r="O306" s="123" t="s">
        <v>198</v>
      </c>
      <c r="P306" s="159"/>
      <c r="Q306" s="160" t="s">
        <v>50</v>
      </c>
      <c r="R306" s="159"/>
      <c r="S306" s="123" t="s">
        <v>198</v>
      </c>
      <c r="T306" s="159"/>
      <c r="U306" s="160" t="s">
        <v>50</v>
      </c>
      <c r="V306" s="159"/>
    </row>
    <row r="307" spans="2:22" ht="50.1" hidden="1" customHeight="1" outlineLevel="6">
      <c r="B307" s="126"/>
      <c r="C307" s="126"/>
      <c r="D307" s="126"/>
      <c r="E307" s="126"/>
      <c r="F307" s="116" t="s">
        <v>199</v>
      </c>
      <c r="G307" s="127"/>
      <c r="H307" s="144"/>
      <c r="I307" s="119"/>
      <c r="J307" s="278"/>
      <c r="K307" s="281"/>
      <c r="L307" s="128" t="s">
        <v>290</v>
      </c>
      <c r="M307" s="288" t="s">
        <v>211</v>
      </c>
      <c r="N307" s="288"/>
      <c r="O307" s="123" t="s">
        <v>198</v>
      </c>
      <c r="P307" s="159"/>
      <c r="Q307" s="160" t="s">
        <v>50</v>
      </c>
      <c r="R307" s="159"/>
      <c r="S307" s="123" t="s">
        <v>198</v>
      </c>
      <c r="T307" s="159"/>
      <c r="U307" s="160" t="s">
        <v>50</v>
      </c>
      <c r="V307" s="159"/>
    </row>
    <row r="308" spans="2:22" ht="50.1" hidden="1" customHeight="1" outlineLevel="6">
      <c r="B308" s="126"/>
      <c r="C308" s="126"/>
      <c r="D308" s="126"/>
      <c r="E308" s="126"/>
      <c r="F308" s="116" t="s">
        <v>199</v>
      </c>
      <c r="G308" s="127"/>
      <c r="H308" s="144"/>
      <c r="I308" s="119"/>
      <c r="J308" s="279"/>
      <c r="K308" s="282"/>
      <c r="L308" s="118" t="s">
        <v>206</v>
      </c>
      <c r="M308" s="287" t="s">
        <v>410</v>
      </c>
      <c r="N308" s="287"/>
      <c r="O308" s="123" t="s">
        <v>198</v>
      </c>
      <c r="P308" s="159"/>
      <c r="Q308" s="160" t="s">
        <v>50</v>
      </c>
      <c r="R308" s="159"/>
      <c r="S308" s="123" t="s">
        <v>198</v>
      </c>
      <c r="T308" s="159"/>
      <c r="U308" s="160" t="s">
        <v>50</v>
      </c>
      <c r="V308" s="159"/>
    </row>
    <row r="309" spans="2:22" s="147" customFormat="1" ht="50.1" hidden="1" customHeight="1" outlineLevel="4">
      <c r="B309" s="141" t="s">
        <v>471</v>
      </c>
      <c r="C309" s="141"/>
      <c r="D309" s="141"/>
      <c r="E309" s="141"/>
      <c r="F309" s="149" t="s">
        <v>214</v>
      </c>
      <c r="G309" s="143" t="s">
        <v>472</v>
      </c>
      <c r="H309" s="144" t="s">
        <v>233</v>
      </c>
      <c r="I309" s="119" t="s">
        <v>195</v>
      </c>
      <c r="J309" s="153"/>
      <c r="K309" s="143"/>
      <c r="L309" s="143"/>
      <c r="M309" s="268"/>
      <c r="N309" s="268"/>
      <c r="O309" s="123" t="s">
        <v>198</v>
      </c>
      <c r="P309" s="150"/>
      <c r="Q309" s="158" t="s">
        <v>50</v>
      </c>
      <c r="R309" s="150"/>
      <c r="S309" s="123" t="s">
        <v>198</v>
      </c>
      <c r="T309" s="150"/>
      <c r="U309" s="158" t="s">
        <v>50</v>
      </c>
      <c r="V309" s="150"/>
    </row>
    <row r="310" spans="2:22" ht="50.1" hidden="1" customHeight="1" outlineLevel="6">
      <c r="B310" s="126"/>
      <c r="C310" s="126"/>
      <c r="D310" s="126"/>
      <c r="E310" s="126"/>
      <c r="F310" s="116" t="s">
        <v>199</v>
      </c>
      <c r="G310" s="127"/>
      <c r="H310" s="144"/>
      <c r="I310" s="119"/>
      <c r="J310" s="277" t="s">
        <v>458</v>
      </c>
      <c r="K310" s="280" t="s">
        <v>418</v>
      </c>
      <c r="L310" s="118" t="s">
        <v>219</v>
      </c>
      <c r="M310" s="287" t="s">
        <v>203</v>
      </c>
      <c r="N310" s="287"/>
      <c r="O310" s="123" t="s">
        <v>198</v>
      </c>
      <c r="P310" s="159"/>
      <c r="Q310" s="160" t="s">
        <v>50</v>
      </c>
      <c r="R310" s="159"/>
      <c r="S310" s="123" t="s">
        <v>198</v>
      </c>
      <c r="T310" s="159"/>
      <c r="U310" s="160" t="s">
        <v>50</v>
      </c>
      <c r="V310" s="159"/>
    </row>
    <row r="311" spans="2:22" ht="50.1" hidden="1" customHeight="1" outlineLevel="6">
      <c r="B311" s="126"/>
      <c r="C311" s="126"/>
      <c r="D311" s="126"/>
      <c r="E311" s="126"/>
      <c r="F311" s="116" t="s">
        <v>199</v>
      </c>
      <c r="G311" s="127"/>
      <c r="H311" s="144"/>
      <c r="I311" s="119"/>
      <c r="J311" s="278"/>
      <c r="K311" s="281"/>
      <c r="L311" s="128" t="s">
        <v>290</v>
      </c>
      <c r="M311" s="288" t="s">
        <v>211</v>
      </c>
      <c r="N311" s="288"/>
      <c r="O311" s="123" t="s">
        <v>198</v>
      </c>
      <c r="P311" s="159"/>
      <c r="Q311" s="160" t="s">
        <v>50</v>
      </c>
      <c r="R311" s="159"/>
      <c r="S311" s="123" t="s">
        <v>198</v>
      </c>
      <c r="T311" s="159"/>
      <c r="U311" s="160" t="s">
        <v>50</v>
      </c>
      <c r="V311" s="159"/>
    </row>
    <row r="312" spans="2:22" ht="50.1" hidden="1" customHeight="1" outlineLevel="6">
      <c r="B312" s="126"/>
      <c r="C312" s="126"/>
      <c r="D312" s="126"/>
      <c r="E312" s="126"/>
      <c r="F312" s="116" t="s">
        <v>199</v>
      </c>
      <c r="G312" s="127"/>
      <c r="H312" s="144"/>
      <c r="I312" s="119"/>
      <c r="J312" s="279"/>
      <c r="K312" s="282"/>
      <c r="L312" s="118" t="s">
        <v>206</v>
      </c>
      <c r="M312" s="287" t="s">
        <v>410</v>
      </c>
      <c r="N312" s="287"/>
      <c r="O312" s="123" t="s">
        <v>198</v>
      </c>
      <c r="P312" s="159"/>
      <c r="Q312" s="160" t="s">
        <v>50</v>
      </c>
      <c r="R312" s="159"/>
      <c r="S312" s="123" t="s">
        <v>198</v>
      </c>
      <c r="T312" s="159"/>
      <c r="U312" s="160" t="s">
        <v>50</v>
      </c>
      <c r="V312" s="159"/>
    </row>
    <row r="313" spans="2:22" s="147" customFormat="1" ht="50.1" hidden="1" customHeight="1" outlineLevel="4">
      <c r="B313" s="141" t="s">
        <v>473</v>
      </c>
      <c r="C313" s="141"/>
      <c r="D313" s="141"/>
      <c r="E313" s="141"/>
      <c r="F313" s="149" t="s">
        <v>214</v>
      </c>
      <c r="G313" s="143" t="s">
        <v>474</v>
      </c>
      <c r="H313" s="144" t="s">
        <v>233</v>
      </c>
      <c r="I313" s="119" t="s">
        <v>195</v>
      </c>
      <c r="J313" s="153"/>
      <c r="K313" s="143"/>
      <c r="L313" s="143"/>
      <c r="M313" s="268"/>
      <c r="N313" s="268"/>
      <c r="O313" s="123" t="s">
        <v>198</v>
      </c>
      <c r="P313" s="150"/>
      <c r="Q313" s="158" t="s">
        <v>50</v>
      </c>
      <c r="R313" s="150"/>
      <c r="S313" s="123" t="s">
        <v>198</v>
      </c>
      <c r="T313" s="150"/>
      <c r="U313" s="158" t="s">
        <v>50</v>
      </c>
      <c r="V313" s="150"/>
    </row>
    <row r="314" spans="2:22" ht="50.1" hidden="1" customHeight="1" outlineLevel="6">
      <c r="B314" s="126"/>
      <c r="C314" s="126"/>
      <c r="D314" s="126"/>
      <c r="E314" s="126"/>
      <c r="F314" s="116" t="s">
        <v>199</v>
      </c>
      <c r="G314" s="127"/>
      <c r="H314" s="144"/>
      <c r="I314" s="119"/>
      <c r="J314" s="277" t="s">
        <v>458</v>
      </c>
      <c r="K314" s="280" t="s">
        <v>421</v>
      </c>
      <c r="L314" s="118" t="s">
        <v>219</v>
      </c>
      <c r="M314" s="287" t="s">
        <v>203</v>
      </c>
      <c r="N314" s="287"/>
      <c r="O314" s="123" t="s">
        <v>198</v>
      </c>
      <c r="P314" s="159"/>
      <c r="Q314" s="160" t="s">
        <v>50</v>
      </c>
      <c r="R314" s="159"/>
      <c r="S314" s="123" t="s">
        <v>198</v>
      </c>
      <c r="T314" s="159"/>
      <c r="U314" s="160" t="s">
        <v>50</v>
      </c>
      <c r="V314" s="159"/>
    </row>
    <row r="315" spans="2:22" ht="50.1" hidden="1" customHeight="1" outlineLevel="6">
      <c r="B315" s="126"/>
      <c r="C315" s="126"/>
      <c r="D315" s="126"/>
      <c r="E315" s="126"/>
      <c r="F315" s="116" t="s">
        <v>199</v>
      </c>
      <c r="G315" s="127"/>
      <c r="H315" s="144"/>
      <c r="I315" s="119"/>
      <c r="J315" s="278"/>
      <c r="K315" s="281"/>
      <c r="L315" s="128" t="s">
        <v>290</v>
      </c>
      <c r="M315" s="288" t="s">
        <v>211</v>
      </c>
      <c r="N315" s="288"/>
      <c r="O315" s="123" t="s">
        <v>198</v>
      </c>
      <c r="P315" s="159"/>
      <c r="Q315" s="160" t="s">
        <v>50</v>
      </c>
      <c r="R315" s="159"/>
      <c r="S315" s="123" t="s">
        <v>198</v>
      </c>
      <c r="T315" s="159"/>
      <c r="U315" s="160" t="s">
        <v>50</v>
      </c>
      <c r="V315" s="159"/>
    </row>
    <row r="316" spans="2:22" ht="50.1" hidden="1" customHeight="1" outlineLevel="6">
      <c r="B316" s="126"/>
      <c r="C316" s="126"/>
      <c r="D316" s="126"/>
      <c r="E316" s="126"/>
      <c r="F316" s="116" t="s">
        <v>199</v>
      </c>
      <c r="G316" s="127"/>
      <c r="H316" s="144"/>
      <c r="I316" s="119"/>
      <c r="J316" s="279"/>
      <c r="K316" s="282"/>
      <c r="L316" s="118" t="s">
        <v>206</v>
      </c>
      <c r="M316" s="287" t="s">
        <v>410</v>
      </c>
      <c r="N316" s="287"/>
      <c r="O316" s="123" t="s">
        <v>198</v>
      </c>
      <c r="P316" s="159"/>
      <c r="Q316" s="160" t="s">
        <v>50</v>
      </c>
      <c r="R316" s="159"/>
      <c r="S316" s="123" t="s">
        <v>198</v>
      </c>
      <c r="T316" s="159"/>
      <c r="U316" s="160" t="s">
        <v>50</v>
      </c>
      <c r="V316" s="159"/>
    </row>
    <row r="317" spans="2:22" s="147" customFormat="1" ht="50.1" hidden="1" customHeight="1" outlineLevel="4">
      <c r="B317" s="141" t="s">
        <v>475</v>
      </c>
      <c r="C317" s="141"/>
      <c r="D317" s="141"/>
      <c r="E317" s="141"/>
      <c r="F317" s="149" t="s">
        <v>214</v>
      </c>
      <c r="G317" s="143" t="s">
        <v>476</v>
      </c>
      <c r="H317" s="144" t="s">
        <v>233</v>
      </c>
      <c r="I317" s="119" t="s">
        <v>195</v>
      </c>
      <c r="J317" s="153"/>
      <c r="K317" s="143"/>
      <c r="L317" s="143"/>
      <c r="M317" s="268"/>
      <c r="N317" s="268"/>
      <c r="O317" s="123" t="s">
        <v>198</v>
      </c>
      <c r="P317" s="150"/>
      <c r="Q317" s="158" t="s">
        <v>50</v>
      </c>
      <c r="R317" s="150"/>
      <c r="S317" s="123" t="s">
        <v>198</v>
      </c>
      <c r="T317" s="150"/>
      <c r="U317" s="158" t="s">
        <v>50</v>
      </c>
      <c r="V317" s="150"/>
    </row>
    <row r="318" spans="2:22" ht="50.1" hidden="1" customHeight="1" outlineLevel="6">
      <c r="B318" s="126"/>
      <c r="C318" s="126"/>
      <c r="D318" s="126"/>
      <c r="E318" s="126"/>
      <c r="F318" s="116" t="s">
        <v>199</v>
      </c>
      <c r="G318" s="127"/>
      <c r="H318" s="144"/>
      <c r="I318" s="119"/>
      <c r="J318" s="277" t="s">
        <v>458</v>
      </c>
      <c r="K318" s="280" t="s">
        <v>424</v>
      </c>
      <c r="L318" s="118" t="s">
        <v>219</v>
      </c>
      <c r="M318" s="287" t="s">
        <v>203</v>
      </c>
      <c r="N318" s="287"/>
      <c r="O318" s="123" t="s">
        <v>198</v>
      </c>
      <c r="P318" s="159"/>
      <c r="Q318" s="160" t="s">
        <v>50</v>
      </c>
      <c r="R318" s="159"/>
      <c r="S318" s="123" t="s">
        <v>198</v>
      </c>
      <c r="T318" s="159"/>
      <c r="U318" s="160" t="s">
        <v>50</v>
      </c>
      <c r="V318" s="159"/>
    </row>
    <row r="319" spans="2:22" ht="50.1" hidden="1" customHeight="1" outlineLevel="6">
      <c r="B319" s="126"/>
      <c r="C319" s="126"/>
      <c r="D319" s="126"/>
      <c r="E319" s="126"/>
      <c r="F319" s="116" t="s">
        <v>199</v>
      </c>
      <c r="G319" s="127"/>
      <c r="H319" s="144"/>
      <c r="I319" s="119"/>
      <c r="J319" s="278"/>
      <c r="K319" s="281"/>
      <c r="L319" s="128" t="s">
        <v>290</v>
      </c>
      <c r="M319" s="288" t="s">
        <v>211</v>
      </c>
      <c r="N319" s="288"/>
      <c r="O319" s="123" t="s">
        <v>198</v>
      </c>
      <c r="P319" s="159"/>
      <c r="Q319" s="160" t="s">
        <v>50</v>
      </c>
      <c r="R319" s="159"/>
      <c r="S319" s="123" t="s">
        <v>198</v>
      </c>
      <c r="T319" s="159"/>
      <c r="U319" s="160" t="s">
        <v>50</v>
      </c>
      <c r="V319" s="159"/>
    </row>
    <row r="320" spans="2:22" ht="50.1" hidden="1" customHeight="1" outlineLevel="6">
      <c r="B320" s="126"/>
      <c r="C320" s="126"/>
      <c r="D320" s="126"/>
      <c r="E320" s="126"/>
      <c r="F320" s="116" t="s">
        <v>199</v>
      </c>
      <c r="G320" s="127"/>
      <c r="H320" s="144"/>
      <c r="I320" s="119"/>
      <c r="J320" s="279"/>
      <c r="K320" s="282"/>
      <c r="L320" s="118" t="s">
        <v>206</v>
      </c>
      <c r="M320" s="287" t="s">
        <v>410</v>
      </c>
      <c r="N320" s="287"/>
      <c r="O320" s="123" t="s">
        <v>198</v>
      </c>
      <c r="P320" s="159"/>
      <c r="Q320" s="160" t="s">
        <v>50</v>
      </c>
      <c r="R320" s="159"/>
      <c r="S320" s="123" t="s">
        <v>198</v>
      </c>
      <c r="T320" s="159"/>
      <c r="U320" s="160" t="s">
        <v>50</v>
      </c>
      <c r="V320" s="159"/>
    </row>
    <row r="321" spans="2:22" s="147" customFormat="1" ht="50.1" hidden="1" customHeight="1" outlineLevel="4">
      <c r="B321" s="141" t="s">
        <v>477</v>
      </c>
      <c r="C321" s="141"/>
      <c r="D321" s="141"/>
      <c r="E321" s="141"/>
      <c r="F321" s="149" t="s">
        <v>214</v>
      </c>
      <c r="G321" s="143" t="s">
        <v>478</v>
      </c>
      <c r="H321" s="144" t="s">
        <v>233</v>
      </c>
      <c r="I321" s="119" t="s">
        <v>195</v>
      </c>
      <c r="J321" s="153"/>
      <c r="K321" s="143"/>
      <c r="L321" s="143"/>
      <c r="M321" s="268"/>
      <c r="N321" s="268"/>
      <c r="O321" s="123" t="s">
        <v>198</v>
      </c>
      <c r="P321" s="150"/>
      <c r="Q321" s="158" t="s">
        <v>50</v>
      </c>
      <c r="R321" s="150"/>
      <c r="S321" s="123" t="s">
        <v>198</v>
      </c>
      <c r="T321" s="150"/>
      <c r="U321" s="158" t="s">
        <v>50</v>
      </c>
      <c r="V321" s="150"/>
    </row>
    <row r="322" spans="2:22" ht="50.1" hidden="1" customHeight="1" outlineLevel="6">
      <c r="B322" s="126"/>
      <c r="C322" s="126"/>
      <c r="D322" s="126"/>
      <c r="E322" s="126"/>
      <c r="F322" s="116" t="s">
        <v>199</v>
      </c>
      <c r="G322" s="127"/>
      <c r="H322" s="144"/>
      <c r="I322" s="119"/>
      <c r="J322" s="277" t="s">
        <v>458</v>
      </c>
      <c r="K322" s="280" t="s">
        <v>427</v>
      </c>
      <c r="L322" s="118" t="s">
        <v>219</v>
      </c>
      <c r="M322" s="287" t="s">
        <v>203</v>
      </c>
      <c r="N322" s="287"/>
      <c r="O322" s="123" t="s">
        <v>198</v>
      </c>
      <c r="P322" s="159"/>
      <c r="Q322" s="160" t="s">
        <v>50</v>
      </c>
      <c r="R322" s="159"/>
      <c r="S322" s="123" t="s">
        <v>198</v>
      </c>
      <c r="T322" s="159"/>
      <c r="U322" s="160" t="s">
        <v>50</v>
      </c>
      <c r="V322" s="159"/>
    </row>
    <row r="323" spans="2:22" ht="50.1" hidden="1" customHeight="1" outlineLevel="6">
      <c r="B323" s="126"/>
      <c r="C323" s="126"/>
      <c r="D323" s="126"/>
      <c r="E323" s="126"/>
      <c r="F323" s="116" t="s">
        <v>199</v>
      </c>
      <c r="G323" s="127"/>
      <c r="H323" s="144"/>
      <c r="I323" s="119"/>
      <c r="J323" s="278"/>
      <c r="K323" s="281"/>
      <c r="L323" s="128" t="s">
        <v>290</v>
      </c>
      <c r="M323" s="288" t="s">
        <v>211</v>
      </c>
      <c r="N323" s="288"/>
      <c r="O323" s="123" t="s">
        <v>198</v>
      </c>
      <c r="P323" s="159"/>
      <c r="Q323" s="160" t="s">
        <v>50</v>
      </c>
      <c r="R323" s="159"/>
      <c r="S323" s="123" t="s">
        <v>198</v>
      </c>
      <c r="T323" s="159"/>
      <c r="U323" s="160" t="s">
        <v>50</v>
      </c>
      <c r="V323" s="159"/>
    </row>
    <row r="324" spans="2:22" ht="50.1" hidden="1" customHeight="1" outlineLevel="6">
      <c r="B324" s="126"/>
      <c r="C324" s="126"/>
      <c r="D324" s="126"/>
      <c r="E324" s="126"/>
      <c r="F324" s="116" t="s">
        <v>199</v>
      </c>
      <c r="G324" s="127"/>
      <c r="H324" s="144"/>
      <c r="I324" s="119"/>
      <c r="J324" s="279"/>
      <c r="K324" s="282"/>
      <c r="L324" s="118" t="s">
        <v>206</v>
      </c>
      <c r="M324" s="287" t="s">
        <v>410</v>
      </c>
      <c r="N324" s="287"/>
      <c r="O324" s="123" t="s">
        <v>198</v>
      </c>
      <c r="P324" s="159"/>
      <c r="Q324" s="160" t="s">
        <v>50</v>
      </c>
      <c r="R324" s="159"/>
      <c r="S324" s="123" t="s">
        <v>198</v>
      </c>
      <c r="T324" s="159"/>
      <c r="U324" s="160" t="s">
        <v>50</v>
      </c>
      <c r="V324" s="159"/>
    </row>
    <row r="325" spans="2:22" s="147" customFormat="1" ht="50.1" hidden="1" customHeight="1" outlineLevel="4">
      <c r="B325" s="141" t="s">
        <v>479</v>
      </c>
      <c r="C325" s="141"/>
      <c r="D325" s="141"/>
      <c r="E325" s="141"/>
      <c r="F325" s="149" t="s">
        <v>214</v>
      </c>
      <c r="G325" s="143" t="s">
        <v>407</v>
      </c>
      <c r="H325" s="144" t="s">
        <v>233</v>
      </c>
      <c r="I325" s="119" t="s">
        <v>195</v>
      </c>
      <c r="J325" s="153"/>
      <c r="K325" s="143"/>
      <c r="L325" s="143"/>
      <c r="M325" s="268"/>
      <c r="N325" s="268"/>
      <c r="O325" s="123" t="s">
        <v>198</v>
      </c>
      <c r="P325" s="150"/>
      <c r="Q325" s="158" t="s">
        <v>50</v>
      </c>
      <c r="R325" s="150"/>
      <c r="S325" s="123" t="s">
        <v>198</v>
      </c>
      <c r="T325" s="150"/>
      <c r="U325" s="158" t="s">
        <v>50</v>
      </c>
      <c r="V325" s="150"/>
    </row>
    <row r="326" spans="2:22" ht="50.1" hidden="1" customHeight="1" outlineLevel="6">
      <c r="B326" s="126"/>
      <c r="C326" s="126"/>
      <c r="D326" s="126"/>
      <c r="E326" s="126"/>
      <c r="F326" s="116" t="s">
        <v>199</v>
      </c>
      <c r="G326" s="127"/>
      <c r="H326" s="144"/>
      <c r="I326" s="119"/>
      <c r="J326" s="277" t="s">
        <v>458</v>
      </c>
      <c r="K326" s="280" t="s">
        <v>409</v>
      </c>
      <c r="L326" s="118" t="s">
        <v>219</v>
      </c>
      <c r="M326" s="287" t="s">
        <v>480</v>
      </c>
      <c r="N326" s="287"/>
      <c r="O326" s="123" t="s">
        <v>198</v>
      </c>
      <c r="P326" s="159"/>
      <c r="Q326" s="160" t="s">
        <v>50</v>
      </c>
      <c r="R326" s="159"/>
      <c r="S326" s="123" t="s">
        <v>198</v>
      </c>
      <c r="T326" s="159"/>
      <c r="U326" s="160" t="s">
        <v>50</v>
      </c>
      <c r="V326" s="159"/>
    </row>
    <row r="327" spans="2:22" ht="50.1" hidden="1" customHeight="1" outlineLevel="6">
      <c r="B327" s="126"/>
      <c r="C327" s="126"/>
      <c r="D327" s="126"/>
      <c r="E327" s="126"/>
      <c r="F327" s="116" t="s">
        <v>199</v>
      </c>
      <c r="G327" s="127"/>
      <c r="H327" s="144"/>
      <c r="I327" s="119"/>
      <c r="J327" s="278"/>
      <c r="K327" s="281"/>
      <c r="L327" s="128" t="s">
        <v>290</v>
      </c>
      <c r="M327" s="288" t="s">
        <v>211</v>
      </c>
      <c r="N327" s="288"/>
      <c r="O327" s="123" t="s">
        <v>198</v>
      </c>
      <c r="P327" s="159"/>
      <c r="Q327" s="160" t="s">
        <v>50</v>
      </c>
      <c r="R327" s="159"/>
      <c r="S327" s="123" t="s">
        <v>198</v>
      </c>
      <c r="T327" s="159"/>
      <c r="U327" s="160" t="s">
        <v>50</v>
      </c>
      <c r="V327" s="159"/>
    </row>
    <row r="328" spans="2:22" ht="50.1" hidden="1" customHeight="1" outlineLevel="6">
      <c r="B328" s="126"/>
      <c r="C328" s="126"/>
      <c r="D328" s="126"/>
      <c r="E328" s="126"/>
      <c r="F328" s="116" t="s">
        <v>199</v>
      </c>
      <c r="G328" s="127"/>
      <c r="H328" s="144"/>
      <c r="I328" s="119"/>
      <c r="J328" s="279"/>
      <c r="K328" s="282"/>
      <c r="L328" s="118" t="s">
        <v>206</v>
      </c>
      <c r="M328" s="287" t="s">
        <v>410</v>
      </c>
      <c r="N328" s="287"/>
      <c r="O328" s="123" t="s">
        <v>198</v>
      </c>
      <c r="P328" s="159"/>
      <c r="Q328" s="160" t="s">
        <v>50</v>
      </c>
      <c r="R328" s="159"/>
      <c r="S328" s="123" t="s">
        <v>198</v>
      </c>
      <c r="T328" s="159"/>
      <c r="U328" s="160" t="s">
        <v>50</v>
      </c>
      <c r="V328" s="159"/>
    </row>
    <row r="329" spans="2:22" s="147" customFormat="1" ht="50.1" hidden="1" customHeight="1" outlineLevel="4">
      <c r="B329" s="141" t="s">
        <v>481</v>
      </c>
      <c r="C329" s="141"/>
      <c r="D329" s="141"/>
      <c r="E329" s="141"/>
      <c r="F329" s="149" t="s">
        <v>214</v>
      </c>
      <c r="G329" s="143" t="s">
        <v>431</v>
      </c>
      <c r="H329" s="144" t="s">
        <v>233</v>
      </c>
      <c r="I329" s="119" t="s">
        <v>195</v>
      </c>
      <c r="J329" s="153"/>
      <c r="K329" s="143"/>
      <c r="L329" s="143"/>
      <c r="M329" s="268"/>
      <c r="N329" s="268"/>
      <c r="O329" s="123" t="s">
        <v>198</v>
      </c>
      <c r="P329" s="150"/>
      <c r="Q329" s="158" t="s">
        <v>50</v>
      </c>
      <c r="R329" s="150"/>
      <c r="S329" s="123" t="s">
        <v>198</v>
      </c>
      <c r="T329" s="150"/>
      <c r="U329" s="158" t="s">
        <v>50</v>
      </c>
      <c r="V329" s="150"/>
    </row>
    <row r="330" spans="2:22" ht="50.1" hidden="1" customHeight="1" outlineLevel="6">
      <c r="B330" s="126"/>
      <c r="C330" s="126"/>
      <c r="D330" s="126"/>
      <c r="E330" s="126"/>
      <c r="F330" s="116" t="s">
        <v>199</v>
      </c>
      <c r="G330" s="127"/>
      <c r="H330" s="144"/>
      <c r="I330" s="119"/>
      <c r="J330" s="277" t="s">
        <v>458</v>
      </c>
      <c r="K330" s="280" t="s">
        <v>432</v>
      </c>
      <c r="L330" s="118" t="s">
        <v>219</v>
      </c>
      <c r="M330" s="287" t="s">
        <v>480</v>
      </c>
      <c r="N330" s="287"/>
      <c r="O330" s="123" t="s">
        <v>198</v>
      </c>
      <c r="P330" s="159"/>
      <c r="Q330" s="160" t="s">
        <v>50</v>
      </c>
      <c r="R330" s="159"/>
      <c r="S330" s="123" t="s">
        <v>198</v>
      </c>
      <c r="T330" s="159"/>
      <c r="U330" s="160" t="s">
        <v>50</v>
      </c>
      <c r="V330" s="159"/>
    </row>
    <row r="331" spans="2:22" ht="50.1" hidden="1" customHeight="1" outlineLevel="6">
      <c r="B331" s="126"/>
      <c r="C331" s="126"/>
      <c r="D331" s="126"/>
      <c r="E331" s="126"/>
      <c r="F331" s="116" t="s">
        <v>199</v>
      </c>
      <c r="G331" s="127"/>
      <c r="H331" s="144"/>
      <c r="I331" s="119"/>
      <c r="J331" s="278"/>
      <c r="K331" s="281"/>
      <c r="L331" s="128" t="s">
        <v>290</v>
      </c>
      <c r="M331" s="288" t="s">
        <v>211</v>
      </c>
      <c r="N331" s="288"/>
      <c r="O331" s="123" t="s">
        <v>198</v>
      </c>
      <c r="P331" s="159"/>
      <c r="Q331" s="160" t="s">
        <v>50</v>
      </c>
      <c r="R331" s="159"/>
      <c r="S331" s="123" t="s">
        <v>198</v>
      </c>
      <c r="T331" s="159"/>
      <c r="U331" s="160" t="s">
        <v>50</v>
      </c>
      <c r="V331" s="159"/>
    </row>
    <row r="332" spans="2:22" ht="50.1" hidden="1" customHeight="1" outlineLevel="6">
      <c r="B332" s="126"/>
      <c r="C332" s="126"/>
      <c r="D332" s="126"/>
      <c r="E332" s="126"/>
      <c r="F332" s="116" t="s">
        <v>199</v>
      </c>
      <c r="G332" s="127"/>
      <c r="H332" s="144"/>
      <c r="I332" s="119"/>
      <c r="J332" s="279"/>
      <c r="K332" s="282"/>
      <c r="L332" s="118" t="s">
        <v>206</v>
      </c>
      <c r="M332" s="287" t="s">
        <v>410</v>
      </c>
      <c r="N332" s="287"/>
      <c r="O332" s="123" t="s">
        <v>198</v>
      </c>
      <c r="P332" s="159"/>
      <c r="Q332" s="160" t="s">
        <v>50</v>
      </c>
      <c r="R332" s="159"/>
      <c r="S332" s="123" t="s">
        <v>198</v>
      </c>
      <c r="T332" s="159"/>
      <c r="U332" s="160" t="s">
        <v>50</v>
      </c>
      <c r="V332" s="159"/>
    </row>
    <row r="333" spans="2:22" s="147" customFormat="1" ht="50.1" hidden="1" customHeight="1" outlineLevel="4">
      <c r="B333" s="141" t="s">
        <v>482</v>
      </c>
      <c r="C333" s="141"/>
      <c r="D333" s="141"/>
      <c r="E333" s="141"/>
      <c r="F333" s="149" t="s">
        <v>214</v>
      </c>
      <c r="G333" s="143" t="s">
        <v>483</v>
      </c>
      <c r="H333" s="144" t="s">
        <v>233</v>
      </c>
      <c r="I333" s="119" t="s">
        <v>195</v>
      </c>
      <c r="J333" s="153"/>
      <c r="K333" s="143"/>
      <c r="L333" s="143"/>
      <c r="M333" s="268"/>
      <c r="N333" s="268"/>
      <c r="O333" s="123" t="s">
        <v>198</v>
      </c>
      <c r="P333" s="150"/>
      <c r="Q333" s="158" t="s">
        <v>50</v>
      </c>
      <c r="R333" s="150"/>
      <c r="S333" s="123" t="s">
        <v>198</v>
      </c>
      <c r="T333" s="150"/>
      <c r="U333" s="158" t="s">
        <v>50</v>
      </c>
      <c r="V333" s="150"/>
    </row>
    <row r="334" spans="2:22" ht="50.1" hidden="1" customHeight="1" outlineLevel="6">
      <c r="B334" s="126"/>
      <c r="C334" s="126"/>
      <c r="D334" s="126"/>
      <c r="E334" s="126"/>
      <c r="F334" s="116" t="s">
        <v>199</v>
      </c>
      <c r="G334" s="127"/>
      <c r="H334" s="144"/>
      <c r="I334" s="119"/>
      <c r="J334" s="277" t="s">
        <v>458</v>
      </c>
      <c r="K334" s="280" t="s">
        <v>484</v>
      </c>
      <c r="L334" s="118" t="s">
        <v>219</v>
      </c>
      <c r="M334" s="287" t="s">
        <v>480</v>
      </c>
      <c r="N334" s="287"/>
      <c r="O334" s="123" t="s">
        <v>198</v>
      </c>
      <c r="P334" s="159"/>
      <c r="Q334" s="160" t="s">
        <v>50</v>
      </c>
      <c r="R334" s="159"/>
      <c r="S334" s="123" t="s">
        <v>198</v>
      </c>
      <c r="T334" s="159"/>
      <c r="U334" s="160" t="s">
        <v>50</v>
      </c>
      <c r="V334" s="159"/>
    </row>
    <row r="335" spans="2:22" ht="50.1" hidden="1" customHeight="1" outlineLevel="6">
      <c r="B335" s="126"/>
      <c r="C335" s="126"/>
      <c r="D335" s="126"/>
      <c r="E335" s="126"/>
      <c r="F335" s="116" t="s">
        <v>199</v>
      </c>
      <c r="G335" s="127"/>
      <c r="H335" s="144"/>
      <c r="I335" s="119"/>
      <c r="J335" s="278"/>
      <c r="K335" s="281"/>
      <c r="L335" s="128" t="s">
        <v>290</v>
      </c>
      <c r="M335" s="288" t="s">
        <v>211</v>
      </c>
      <c r="N335" s="288"/>
      <c r="O335" s="123" t="s">
        <v>198</v>
      </c>
      <c r="P335" s="159"/>
      <c r="Q335" s="160" t="s">
        <v>50</v>
      </c>
      <c r="R335" s="159"/>
      <c r="S335" s="123" t="s">
        <v>198</v>
      </c>
      <c r="T335" s="159"/>
      <c r="U335" s="160" t="s">
        <v>50</v>
      </c>
      <c r="V335" s="159"/>
    </row>
    <row r="336" spans="2:22" ht="50.1" hidden="1" customHeight="1" outlineLevel="6">
      <c r="B336" s="126"/>
      <c r="C336" s="126"/>
      <c r="D336" s="126"/>
      <c r="E336" s="126"/>
      <c r="F336" s="116" t="s">
        <v>199</v>
      </c>
      <c r="G336" s="127"/>
      <c r="H336" s="144"/>
      <c r="I336" s="119"/>
      <c r="J336" s="279"/>
      <c r="K336" s="282"/>
      <c r="L336" s="118" t="s">
        <v>206</v>
      </c>
      <c r="M336" s="287" t="s">
        <v>410</v>
      </c>
      <c r="N336" s="287"/>
      <c r="O336" s="123" t="s">
        <v>198</v>
      </c>
      <c r="P336" s="159"/>
      <c r="Q336" s="160" t="s">
        <v>50</v>
      </c>
      <c r="R336" s="159"/>
      <c r="S336" s="123" t="s">
        <v>198</v>
      </c>
      <c r="T336" s="159"/>
      <c r="U336" s="160" t="s">
        <v>50</v>
      </c>
      <c r="V336" s="159"/>
    </row>
    <row r="337" spans="2:22" s="147" customFormat="1" ht="50.1" hidden="1" customHeight="1" outlineLevel="4">
      <c r="B337" s="141" t="s">
        <v>485</v>
      </c>
      <c r="C337" s="141"/>
      <c r="D337" s="141"/>
      <c r="E337" s="141"/>
      <c r="F337" s="149" t="s">
        <v>214</v>
      </c>
      <c r="G337" s="143" t="s">
        <v>486</v>
      </c>
      <c r="H337" s="144" t="s">
        <v>233</v>
      </c>
      <c r="I337" s="119" t="s">
        <v>195</v>
      </c>
      <c r="J337" s="153"/>
      <c r="K337" s="143"/>
      <c r="L337" s="143"/>
      <c r="M337" s="268"/>
      <c r="N337" s="268"/>
      <c r="O337" s="123" t="s">
        <v>198</v>
      </c>
      <c r="P337" s="150"/>
      <c r="Q337" s="158" t="s">
        <v>50</v>
      </c>
      <c r="R337" s="150"/>
      <c r="S337" s="123" t="s">
        <v>198</v>
      </c>
      <c r="T337" s="150"/>
      <c r="U337" s="158" t="s">
        <v>50</v>
      </c>
      <c r="V337" s="150"/>
    </row>
    <row r="338" spans="2:22" ht="50.1" hidden="1" customHeight="1" outlineLevel="6">
      <c r="B338" s="126"/>
      <c r="C338" s="126"/>
      <c r="D338" s="126"/>
      <c r="E338" s="126"/>
      <c r="F338" s="116" t="s">
        <v>199</v>
      </c>
      <c r="G338" s="127"/>
      <c r="H338" s="144"/>
      <c r="I338" s="119"/>
      <c r="J338" s="277" t="s">
        <v>458</v>
      </c>
      <c r="K338" s="280" t="s">
        <v>443</v>
      </c>
      <c r="L338" s="118" t="s">
        <v>219</v>
      </c>
      <c r="M338" s="287" t="s">
        <v>480</v>
      </c>
      <c r="N338" s="287"/>
      <c r="O338" s="123" t="s">
        <v>198</v>
      </c>
      <c r="P338" s="159"/>
      <c r="Q338" s="160" t="s">
        <v>50</v>
      </c>
      <c r="R338" s="159"/>
      <c r="S338" s="123" t="s">
        <v>198</v>
      </c>
      <c r="T338" s="159"/>
      <c r="U338" s="160" t="s">
        <v>50</v>
      </c>
      <c r="V338" s="159"/>
    </row>
    <row r="339" spans="2:22" ht="50.1" hidden="1" customHeight="1" outlineLevel="6">
      <c r="B339" s="126"/>
      <c r="C339" s="126"/>
      <c r="D339" s="126"/>
      <c r="E339" s="126"/>
      <c r="F339" s="116" t="s">
        <v>199</v>
      </c>
      <c r="G339" s="127"/>
      <c r="H339" s="144"/>
      <c r="I339" s="119"/>
      <c r="J339" s="278"/>
      <c r="K339" s="281"/>
      <c r="L339" s="128" t="s">
        <v>290</v>
      </c>
      <c r="M339" s="288" t="s">
        <v>211</v>
      </c>
      <c r="N339" s="288"/>
      <c r="O339" s="123" t="s">
        <v>198</v>
      </c>
      <c r="P339" s="159"/>
      <c r="Q339" s="160" t="s">
        <v>50</v>
      </c>
      <c r="R339" s="159"/>
      <c r="S339" s="123" t="s">
        <v>198</v>
      </c>
      <c r="T339" s="159"/>
      <c r="U339" s="160" t="s">
        <v>50</v>
      </c>
      <c r="V339" s="159"/>
    </row>
    <row r="340" spans="2:22" ht="50.1" hidden="1" customHeight="1" outlineLevel="6">
      <c r="B340" s="126"/>
      <c r="C340" s="126"/>
      <c r="D340" s="126"/>
      <c r="E340" s="126"/>
      <c r="F340" s="116" t="s">
        <v>199</v>
      </c>
      <c r="G340" s="127"/>
      <c r="H340" s="144"/>
      <c r="I340" s="119"/>
      <c r="J340" s="279"/>
      <c r="K340" s="282"/>
      <c r="L340" s="118" t="s">
        <v>206</v>
      </c>
      <c r="M340" s="287" t="s">
        <v>410</v>
      </c>
      <c r="N340" s="287"/>
      <c r="O340" s="123" t="s">
        <v>198</v>
      </c>
      <c r="P340" s="159"/>
      <c r="Q340" s="160" t="s">
        <v>50</v>
      </c>
      <c r="R340" s="159"/>
      <c r="S340" s="123" t="s">
        <v>198</v>
      </c>
      <c r="T340" s="159"/>
      <c r="U340" s="160" t="s">
        <v>50</v>
      </c>
      <c r="V340" s="159"/>
    </row>
    <row r="341" spans="2:22" s="147" customFormat="1" ht="50.1" hidden="1" customHeight="1" outlineLevel="4">
      <c r="B341" s="141" t="s">
        <v>487</v>
      </c>
      <c r="C341" s="141"/>
      <c r="D341" s="141"/>
      <c r="E341" s="141"/>
      <c r="F341" s="149" t="s">
        <v>214</v>
      </c>
      <c r="G341" s="143" t="s">
        <v>488</v>
      </c>
      <c r="H341" s="144" t="s">
        <v>233</v>
      </c>
      <c r="I341" s="119" t="s">
        <v>195</v>
      </c>
      <c r="J341" s="153"/>
      <c r="K341" s="143"/>
      <c r="L341" s="143"/>
      <c r="M341" s="268"/>
      <c r="N341" s="268"/>
      <c r="O341" s="123" t="s">
        <v>198</v>
      </c>
      <c r="P341" s="150"/>
      <c r="Q341" s="158" t="s">
        <v>50</v>
      </c>
      <c r="R341" s="150"/>
      <c r="S341" s="123" t="s">
        <v>198</v>
      </c>
      <c r="T341" s="150"/>
      <c r="U341" s="158" t="s">
        <v>50</v>
      </c>
      <c r="V341" s="150"/>
    </row>
    <row r="342" spans="2:22" ht="50.1" hidden="1" customHeight="1" outlineLevel="6">
      <c r="B342" s="126"/>
      <c r="C342" s="126"/>
      <c r="D342" s="126"/>
      <c r="E342" s="126"/>
      <c r="F342" s="116" t="s">
        <v>199</v>
      </c>
      <c r="G342" s="127"/>
      <c r="H342" s="144"/>
      <c r="I342" s="119"/>
      <c r="J342" s="277" t="s">
        <v>458</v>
      </c>
      <c r="K342" s="280" t="s">
        <v>446</v>
      </c>
      <c r="L342" s="118" t="s">
        <v>219</v>
      </c>
      <c r="M342" s="287" t="s">
        <v>480</v>
      </c>
      <c r="N342" s="287"/>
      <c r="O342" s="123" t="s">
        <v>198</v>
      </c>
      <c r="P342" s="159"/>
      <c r="Q342" s="160" t="s">
        <v>50</v>
      </c>
      <c r="R342" s="159"/>
      <c r="S342" s="123" t="s">
        <v>198</v>
      </c>
      <c r="T342" s="159"/>
      <c r="U342" s="160" t="s">
        <v>50</v>
      </c>
      <c r="V342" s="159"/>
    </row>
    <row r="343" spans="2:22" ht="50.1" hidden="1" customHeight="1" outlineLevel="6">
      <c r="B343" s="126"/>
      <c r="C343" s="126"/>
      <c r="D343" s="126"/>
      <c r="E343" s="126"/>
      <c r="F343" s="116" t="s">
        <v>199</v>
      </c>
      <c r="G343" s="127"/>
      <c r="H343" s="144"/>
      <c r="I343" s="119"/>
      <c r="J343" s="278"/>
      <c r="K343" s="281"/>
      <c r="L343" s="128" t="s">
        <v>290</v>
      </c>
      <c r="M343" s="288" t="s">
        <v>211</v>
      </c>
      <c r="N343" s="288"/>
      <c r="O343" s="123" t="s">
        <v>198</v>
      </c>
      <c r="P343" s="159"/>
      <c r="Q343" s="160" t="s">
        <v>50</v>
      </c>
      <c r="R343" s="159"/>
      <c r="S343" s="123" t="s">
        <v>198</v>
      </c>
      <c r="T343" s="159"/>
      <c r="U343" s="160" t="s">
        <v>50</v>
      </c>
      <c r="V343" s="159"/>
    </row>
    <row r="344" spans="2:22" ht="50.1" hidden="1" customHeight="1" outlineLevel="6">
      <c r="B344" s="126"/>
      <c r="C344" s="126"/>
      <c r="D344" s="126"/>
      <c r="E344" s="126"/>
      <c r="F344" s="116" t="s">
        <v>199</v>
      </c>
      <c r="G344" s="127"/>
      <c r="H344" s="144"/>
      <c r="I344" s="119"/>
      <c r="J344" s="279"/>
      <c r="K344" s="282"/>
      <c r="L344" s="118" t="s">
        <v>206</v>
      </c>
      <c r="M344" s="287" t="s">
        <v>410</v>
      </c>
      <c r="N344" s="287"/>
      <c r="O344" s="123" t="s">
        <v>198</v>
      </c>
      <c r="P344" s="159"/>
      <c r="Q344" s="160" t="s">
        <v>50</v>
      </c>
      <c r="R344" s="159"/>
      <c r="S344" s="123" t="s">
        <v>198</v>
      </c>
      <c r="T344" s="159"/>
      <c r="U344" s="160" t="s">
        <v>50</v>
      </c>
      <c r="V344" s="159"/>
    </row>
    <row r="345" spans="2:22" s="147" customFormat="1" ht="50.1" hidden="1" customHeight="1" outlineLevel="4">
      <c r="B345" s="141" t="s">
        <v>489</v>
      </c>
      <c r="C345" s="141"/>
      <c r="D345" s="141"/>
      <c r="E345" s="141"/>
      <c r="F345" s="149" t="s">
        <v>214</v>
      </c>
      <c r="G345" s="143" t="s">
        <v>490</v>
      </c>
      <c r="H345" s="144" t="s">
        <v>233</v>
      </c>
      <c r="I345" s="119" t="s">
        <v>195</v>
      </c>
      <c r="J345" s="153"/>
      <c r="K345" s="143"/>
      <c r="L345" s="143"/>
      <c r="M345" s="268"/>
      <c r="N345" s="268"/>
      <c r="O345" s="123" t="s">
        <v>198</v>
      </c>
      <c r="P345" s="150"/>
      <c r="Q345" s="158" t="s">
        <v>50</v>
      </c>
      <c r="R345" s="150"/>
      <c r="S345" s="123" t="s">
        <v>198</v>
      </c>
      <c r="T345" s="150"/>
      <c r="U345" s="158" t="s">
        <v>50</v>
      </c>
      <c r="V345" s="150"/>
    </row>
    <row r="346" spans="2:22" ht="50.1" hidden="1" customHeight="1" outlineLevel="6">
      <c r="B346" s="126"/>
      <c r="C346" s="126"/>
      <c r="D346" s="126"/>
      <c r="E346" s="126"/>
      <c r="F346" s="116" t="s">
        <v>199</v>
      </c>
      <c r="G346" s="127"/>
      <c r="H346" s="144"/>
      <c r="I346" s="119"/>
      <c r="J346" s="277" t="s">
        <v>458</v>
      </c>
      <c r="K346" s="280" t="s">
        <v>449</v>
      </c>
      <c r="L346" s="118" t="s">
        <v>219</v>
      </c>
      <c r="M346" s="287" t="s">
        <v>480</v>
      </c>
      <c r="N346" s="287"/>
      <c r="O346" s="123" t="s">
        <v>198</v>
      </c>
      <c r="P346" s="159"/>
      <c r="Q346" s="160" t="s">
        <v>50</v>
      </c>
      <c r="R346" s="159"/>
      <c r="S346" s="123" t="s">
        <v>198</v>
      </c>
      <c r="T346" s="159"/>
      <c r="U346" s="160" t="s">
        <v>50</v>
      </c>
      <c r="V346" s="159"/>
    </row>
    <row r="347" spans="2:22" ht="50.1" hidden="1" customHeight="1" outlineLevel="6">
      <c r="B347" s="126"/>
      <c r="C347" s="126"/>
      <c r="D347" s="126"/>
      <c r="E347" s="126"/>
      <c r="F347" s="116" t="s">
        <v>199</v>
      </c>
      <c r="G347" s="127"/>
      <c r="H347" s="144"/>
      <c r="I347" s="119"/>
      <c r="J347" s="278"/>
      <c r="K347" s="281"/>
      <c r="L347" s="128" t="s">
        <v>290</v>
      </c>
      <c r="M347" s="288" t="s">
        <v>211</v>
      </c>
      <c r="N347" s="288"/>
      <c r="O347" s="123" t="s">
        <v>198</v>
      </c>
      <c r="P347" s="159"/>
      <c r="Q347" s="160" t="s">
        <v>50</v>
      </c>
      <c r="R347" s="159"/>
      <c r="S347" s="123" t="s">
        <v>198</v>
      </c>
      <c r="T347" s="159"/>
      <c r="U347" s="160" t="s">
        <v>50</v>
      </c>
      <c r="V347" s="159"/>
    </row>
    <row r="348" spans="2:22" ht="50.1" hidden="1" customHeight="1" outlineLevel="6">
      <c r="B348" s="126"/>
      <c r="C348" s="126"/>
      <c r="D348" s="126"/>
      <c r="E348" s="126"/>
      <c r="F348" s="116" t="s">
        <v>199</v>
      </c>
      <c r="G348" s="127"/>
      <c r="H348" s="144"/>
      <c r="I348" s="119"/>
      <c r="J348" s="279"/>
      <c r="K348" s="282"/>
      <c r="L348" s="118" t="s">
        <v>206</v>
      </c>
      <c r="M348" s="287" t="s">
        <v>410</v>
      </c>
      <c r="N348" s="287"/>
      <c r="O348" s="123" t="s">
        <v>198</v>
      </c>
      <c r="P348" s="159"/>
      <c r="Q348" s="160" t="s">
        <v>50</v>
      </c>
      <c r="R348" s="159"/>
      <c r="S348" s="123" t="s">
        <v>198</v>
      </c>
      <c r="T348" s="159"/>
      <c r="U348" s="160" t="s">
        <v>50</v>
      </c>
      <c r="V348" s="159"/>
    </row>
    <row r="349" spans="2:22" s="147" customFormat="1" ht="50.1" hidden="1" customHeight="1" outlineLevel="4">
      <c r="B349" s="141" t="s">
        <v>491</v>
      </c>
      <c r="C349" s="141"/>
      <c r="D349" s="141"/>
      <c r="E349" s="141"/>
      <c r="F349" s="149" t="s">
        <v>214</v>
      </c>
      <c r="G349" s="143" t="s">
        <v>492</v>
      </c>
      <c r="H349" s="144" t="s">
        <v>233</v>
      </c>
      <c r="I349" s="119" t="s">
        <v>195</v>
      </c>
      <c r="J349" s="153"/>
      <c r="K349" s="143"/>
      <c r="L349" s="143"/>
      <c r="M349" s="268"/>
      <c r="N349" s="268"/>
      <c r="O349" s="123" t="s">
        <v>198</v>
      </c>
      <c r="P349" s="150"/>
      <c r="Q349" s="158" t="s">
        <v>50</v>
      </c>
      <c r="R349" s="150"/>
      <c r="S349" s="123" t="s">
        <v>198</v>
      </c>
      <c r="T349" s="150"/>
      <c r="U349" s="158" t="s">
        <v>50</v>
      </c>
      <c r="V349" s="150"/>
    </row>
    <row r="350" spans="2:22" ht="50.1" hidden="1" customHeight="1" outlineLevel="6">
      <c r="B350" s="126"/>
      <c r="C350" s="126"/>
      <c r="D350" s="126"/>
      <c r="E350" s="126"/>
      <c r="F350" s="116" t="s">
        <v>199</v>
      </c>
      <c r="G350" s="127"/>
      <c r="H350" s="144"/>
      <c r="I350" s="119"/>
      <c r="J350" s="277" t="s">
        <v>458</v>
      </c>
      <c r="K350" s="280" t="s">
        <v>452</v>
      </c>
      <c r="L350" s="118" t="s">
        <v>219</v>
      </c>
      <c r="M350" s="287" t="s">
        <v>480</v>
      </c>
      <c r="N350" s="287"/>
      <c r="O350" s="123" t="s">
        <v>198</v>
      </c>
      <c r="P350" s="159"/>
      <c r="Q350" s="160" t="s">
        <v>50</v>
      </c>
      <c r="R350" s="159"/>
      <c r="S350" s="123" t="s">
        <v>198</v>
      </c>
      <c r="T350" s="159"/>
      <c r="U350" s="160" t="s">
        <v>50</v>
      </c>
      <c r="V350" s="159"/>
    </row>
    <row r="351" spans="2:22" ht="50.1" hidden="1" customHeight="1" outlineLevel="6">
      <c r="B351" s="126"/>
      <c r="C351" s="126"/>
      <c r="D351" s="126"/>
      <c r="E351" s="126"/>
      <c r="F351" s="116" t="s">
        <v>199</v>
      </c>
      <c r="G351" s="127"/>
      <c r="H351" s="144"/>
      <c r="I351" s="119"/>
      <c r="J351" s="278"/>
      <c r="K351" s="281"/>
      <c r="L351" s="128" t="s">
        <v>204</v>
      </c>
      <c r="M351" s="288" t="s">
        <v>211</v>
      </c>
      <c r="N351" s="288"/>
      <c r="O351" s="123" t="s">
        <v>198</v>
      </c>
      <c r="P351" s="159"/>
      <c r="Q351" s="160" t="s">
        <v>50</v>
      </c>
      <c r="R351" s="159"/>
      <c r="S351" s="123" t="s">
        <v>198</v>
      </c>
      <c r="T351" s="159"/>
      <c r="U351" s="160" t="s">
        <v>50</v>
      </c>
      <c r="V351" s="159"/>
    </row>
    <row r="352" spans="2:22" ht="50.1" hidden="1" customHeight="1" outlineLevel="6">
      <c r="B352" s="126"/>
      <c r="C352" s="126"/>
      <c r="D352" s="126"/>
      <c r="E352" s="126"/>
      <c r="F352" s="116" t="s">
        <v>199</v>
      </c>
      <c r="G352" s="127"/>
      <c r="H352" s="144"/>
      <c r="I352" s="119"/>
      <c r="J352" s="279"/>
      <c r="K352" s="282"/>
      <c r="L352" s="118" t="s">
        <v>206</v>
      </c>
      <c r="M352" s="287" t="s">
        <v>410</v>
      </c>
      <c r="N352" s="287"/>
      <c r="O352" s="123" t="s">
        <v>198</v>
      </c>
      <c r="P352" s="159"/>
      <c r="Q352" s="160" t="s">
        <v>50</v>
      </c>
      <c r="R352" s="159"/>
      <c r="S352" s="123" t="s">
        <v>198</v>
      </c>
      <c r="T352" s="159"/>
      <c r="U352" s="160" t="s">
        <v>50</v>
      </c>
      <c r="V352" s="159"/>
    </row>
    <row r="353" spans="2:22" s="147" customFormat="1" ht="50.1" hidden="1" customHeight="1" outlineLevel="4">
      <c r="B353" s="141" t="s">
        <v>493</v>
      </c>
      <c r="C353" s="141"/>
      <c r="D353" s="141"/>
      <c r="E353" s="141"/>
      <c r="F353" s="142" t="s">
        <v>231</v>
      </c>
      <c r="G353" s="143" t="s">
        <v>494</v>
      </c>
      <c r="H353" s="144" t="s">
        <v>194</v>
      </c>
      <c r="I353" s="119" t="s">
        <v>195</v>
      </c>
      <c r="J353" s="145" t="s">
        <v>495</v>
      </c>
      <c r="K353" s="143"/>
      <c r="L353" s="143"/>
      <c r="M353" s="268"/>
      <c r="N353" s="268"/>
      <c r="O353" s="123" t="s">
        <v>198</v>
      </c>
      <c r="P353" s="150"/>
      <c r="Q353" s="158" t="s">
        <v>50</v>
      </c>
      <c r="R353" s="150"/>
      <c r="S353" s="123" t="s">
        <v>198</v>
      </c>
      <c r="T353" s="150"/>
      <c r="U353" s="158" t="s">
        <v>50</v>
      </c>
      <c r="V353" s="150"/>
    </row>
    <row r="354" spans="2:22" ht="50.1" hidden="1" customHeight="1" outlineLevel="6">
      <c r="B354" s="126"/>
      <c r="C354" s="126"/>
      <c r="D354" s="126"/>
      <c r="E354" s="126"/>
      <c r="F354" s="116" t="s">
        <v>199</v>
      </c>
      <c r="G354" s="127"/>
      <c r="H354" s="144"/>
      <c r="I354" s="119"/>
      <c r="J354" s="277" t="s">
        <v>393</v>
      </c>
      <c r="K354" s="280" t="s">
        <v>496</v>
      </c>
      <c r="L354" s="118" t="s">
        <v>219</v>
      </c>
      <c r="M354" s="287" t="s">
        <v>210</v>
      </c>
      <c r="N354" s="287"/>
      <c r="O354" s="123" t="s">
        <v>198</v>
      </c>
      <c r="P354" s="159"/>
      <c r="Q354" s="160" t="s">
        <v>50</v>
      </c>
      <c r="R354" s="159"/>
      <c r="S354" s="123" t="s">
        <v>198</v>
      </c>
      <c r="T354" s="159"/>
      <c r="U354" s="160" t="s">
        <v>50</v>
      </c>
      <c r="V354" s="159"/>
    </row>
    <row r="355" spans="2:22" ht="50.1" hidden="1" customHeight="1" outlineLevel="6">
      <c r="B355" s="126"/>
      <c r="C355" s="126"/>
      <c r="D355" s="126"/>
      <c r="E355" s="126"/>
      <c r="F355" s="116" t="s">
        <v>199</v>
      </c>
      <c r="G355" s="127"/>
      <c r="H355" s="144"/>
      <c r="I355" s="119"/>
      <c r="J355" s="278"/>
      <c r="K355" s="281"/>
      <c r="L355" s="128" t="s">
        <v>290</v>
      </c>
      <c r="M355" s="288" t="s">
        <v>211</v>
      </c>
      <c r="N355" s="288"/>
      <c r="O355" s="123" t="s">
        <v>198</v>
      </c>
      <c r="P355" s="159"/>
      <c r="Q355" s="160" t="s">
        <v>50</v>
      </c>
      <c r="R355" s="159"/>
      <c r="S355" s="123" t="s">
        <v>198</v>
      </c>
      <c r="T355" s="159"/>
      <c r="U355" s="160" t="s">
        <v>50</v>
      </c>
      <c r="V355" s="159"/>
    </row>
    <row r="356" spans="2:22" ht="74.25" hidden="1" customHeight="1" outlineLevel="6">
      <c r="B356" s="126"/>
      <c r="C356" s="126"/>
      <c r="D356" s="126"/>
      <c r="E356" s="126"/>
      <c r="F356" s="116" t="s">
        <v>199</v>
      </c>
      <c r="G356" s="127"/>
      <c r="H356" s="144"/>
      <c r="I356" s="119"/>
      <c r="J356" s="279"/>
      <c r="K356" s="282"/>
      <c r="L356" s="118" t="s">
        <v>206</v>
      </c>
      <c r="M356" s="287" t="s">
        <v>212</v>
      </c>
      <c r="N356" s="287"/>
      <c r="O356" s="123" t="s">
        <v>198</v>
      </c>
      <c r="P356" s="159"/>
      <c r="Q356" s="160" t="s">
        <v>50</v>
      </c>
      <c r="R356" s="159"/>
      <c r="S356" s="123" t="s">
        <v>198</v>
      </c>
      <c r="T356" s="159"/>
      <c r="U356" s="160" t="s">
        <v>50</v>
      </c>
      <c r="V356" s="159"/>
    </row>
    <row r="357" spans="2:22" s="147" customFormat="1" ht="50.1" hidden="1" customHeight="1" outlineLevel="4">
      <c r="B357" s="141" t="s">
        <v>497</v>
      </c>
      <c r="C357" s="141"/>
      <c r="D357" s="141"/>
      <c r="E357" s="141"/>
      <c r="F357" s="149" t="s">
        <v>214</v>
      </c>
      <c r="G357" s="143" t="s">
        <v>401</v>
      </c>
      <c r="H357" s="144" t="s">
        <v>216</v>
      </c>
      <c r="I357" s="119" t="s">
        <v>195</v>
      </c>
      <c r="J357" s="153"/>
      <c r="K357" s="143"/>
      <c r="L357" s="143"/>
      <c r="M357" s="268"/>
      <c r="N357" s="268"/>
      <c r="O357" s="123" t="s">
        <v>198</v>
      </c>
      <c r="P357" s="150"/>
      <c r="Q357" s="158" t="s">
        <v>50</v>
      </c>
      <c r="R357" s="150"/>
      <c r="S357" s="123" t="s">
        <v>198</v>
      </c>
      <c r="T357" s="150"/>
      <c r="U357" s="158" t="s">
        <v>50</v>
      </c>
      <c r="V357" s="150"/>
    </row>
    <row r="358" spans="2:22" ht="50.1" hidden="1" customHeight="1" outlineLevel="6">
      <c r="B358" s="126"/>
      <c r="C358" s="126"/>
      <c r="D358" s="126"/>
      <c r="E358" s="126"/>
      <c r="F358" s="116" t="s">
        <v>199</v>
      </c>
      <c r="G358" s="127"/>
      <c r="H358" s="144"/>
      <c r="I358" s="119"/>
      <c r="J358" s="277" t="s">
        <v>498</v>
      </c>
      <c r="K358" s="280" t="s">
        <v>362</v>
      </c>
      <c r="L358" s="118" t="s">
        <v>219</v>
      </c>
      <c r="M358" s="287" t="s">
        <v>210</v>
      </c>
      <c r="N358" s="287"/>
      <c r="O358" s="123" t="s">
        <v>198</v>
      </c>
      <c r="P358" s="159"/>
      <c r="Q358" s="160" t="s">
        <v>50</v>
      </c>
      <c r="R358" s="159"/>
      <c r="S358" s="123" t="s">
        <v>198</v>
      </c>
      <c r="T358" s="159"/>
      <c r="U358" s="160" t="s">
        <v>50</v>
      </c>
      <c r="V358" s="159"/>
    </row>
    <row r="359" spans="2:22" ht="50.1" hidden="1" customHeight="1" outlineLevel="6">
      <c r="B359" s="161"/>
      <c r="C359" s="161"/>
      <c r="D359" s="161"/>
      <c r="E359" s="161"/>
      <c r="F359" s="116" t="s">
        <v>199</v>
      </c>
      <c r="G359" s="127"/>
      <c r="H359" s="144"/>
      <c r="I359" s="119"/>
      <c r="J359" s="278"/>
      <c r="K359" s="281"/>
      <c r="L359" s="128" t="s">
        <v>290</v>
      </c>
      <c r="M359" s="288" t="s">
        <v>211</v>
      </c>
      <c r="N359" s="288"/>
      <c r="O359" s="123" t="s">
        <v>198</v>
      </c>
      <c r="P359" s="159"/>
      <c r="Q359" s="160" t="s">
        <v>50</v>
      </c>
      <c r="R359" s="159"/>
      <c r="S359" s="123" t="s">
        <v>198</v>
      </c>
      <c r="T359" s="159"/>
      <c r="U359" s="160" t="s">
        <v>50</v>
      </c>
      <c r="V359" s="159"/>
    </row>
    <row r="360" spans="2:22" ht="50.1" hidden="1" customHeight="1" outlineLevel="6">
      <c r="B360" s="126"/>
      <c r="C360" s="126"/>
      <c r="D360" s="126"/>
      <c r="E360" s="126"/>
      <c r="F360" s="116" t="s">
        <v>199</v>
      </c>
      <c r="G360" s="127"/>
      <c r="H360" s="144"/>
      <c r="I360" s="119"/>
      <c r="J360" s="279"/>
      <c r="K360" s="282"/>
      <c r="L360" s="118" t="s">
        <v>206</v>
      </c>
      <c r="M360" s="287" t="s">
        <v>212</v>
      </c>
      <c r="N360" s="287"/>
      <c r="O360" s="123" t="s">
        <v>198</v>
      </c>
      <c r="P360" s="159"/>
      <c r="Q360" s="160" t="s">
        <v>50</v>
      </c>
      <c r="R360" s="159"/>
      <c r="S360" s="123" t="s">
        <v>198</v>
      </c>
      <c r="T360" s="159"/>
      <c r="U360" s="160" t="s">
        <v>50</v>
      </c>
      <c r="V360" s="159"/>
    </row>
    <row r="361" spans="2:22" s="147" customFormat="1" ht="50.1" hidden="1" customHeight="1" outlineLevel="4">
      <c r="B361" s="141" t="s">
        <v>499</v>
      </c>
      <c r="C361" s="141"/>
      <c r="D361" s="141"/>
      <c r="E361" s="141"/>
      <c r="F361" s="149" t="s">
        <v>214</v>
      </c>
      <c r="G361" s="143" t="s">
        <v>500</v>
      </c>
      <c r="H361" s="144" t="s">
        <v>216</v>
      </c>
      <c r="I361" s="119" t="s">
        <v>195</v>
      </c>
      <c r="J361" s="153"/>
      <c r="K361" s="143"/>
      <c r="L361" s="143"/>
      <c r="M361" s="268"/>
      <c r="N361" s="268"/>
      <c r="O361" s="123" t="s">
        <v>198</v>
      </c>
      <c r="P361" s="150"/>
      <c r="Q361" s="158" t="s">
        <v>50</v>
      </c>
      <c r="R361" s="150"/>
      <c r="S361" s="123" t="s">
        <v>198</v>
      </c>
      <c r="T361" s="150"/>
      <c r="U361" s="158" t="s">
        <v>50</v>
      </c>
      <c r="V361" s="150"/>
    </row>
    <row r="362" spans="2:22" ht="50.1" hidden="1" customHeight="1" outlineLevel="6">
      <c r="B362" s="126"/>
      <c r="C362" s="126"/>
      <c r="D362" s="126"/>
      <c r="E362" s="126"/>
      <c r="F362" s="116" t="s">
        <v>199</v>
      </c>
      <c r="G362" s="127"/>
      <c r="H362" s="144"/>
      <c r="I362" s="119"/>
      <c r="J362" s="277" t="s">
        <v>498</v>
      </c>
      <c r="K362" s="280" t="s">
        <v>501</v>
      </c>
      <c r="L362" s="118" t="s">
        <v>219</v>
      </c>
      <c r="M362" s="287" t="s">
        <v>210</v>
      </c>
      <c r="N362" s="287"/>
      <c r="O362" s="123" t="s">
        <v>198</v>
      </c>
      <c r="P362" s="159"/>
      <c r="Q362" s="160" t="s">
        <v>50</v>
      </c>
      <c r="R362" s="159"/>
      <c r="S362" s="123" t="s">
        <v>198</v>
      </c>
      <c r="T362" s="159"/>
      <c r="U362" s="160" t="s">
        <v>50</v>
      </c>
      <c r="V362" s="159"/>
    </row>
    <row r="363" spans="2:22" ht="50.1" hidden="1" customHeight="1" outlineLevel="6">
      <c r="B363" s="126"/>
      <c r="C363" s="126"/>
      <c r="D363" s="126"/>
      <c r="E363" s="126"/>
      <c r="F363" s="116" t="s">
        <v>199</v>
      </c>
      <c r="G363" s="127"/>
      <c r="H363" s="144"/>
      <c r="I363" s="119"/>
      <c r="J363" s="278"/>
      <c r="K363" s="281"/>
      <c r="L363" s="128" t="s">
        <v>290</v>
      </c>
      <c r="M363" s="288" t="s">
        <v>211</v>
      </c>
      <c r="N363" s="288"/>
      <c r="O363" s="123" t="s">
        <v>198</v>
      </c>
      <c r="P363" s="159"/>
      <c r="Q363" s="160" t="s">
        <v>50</v>
      </c>
      <c r="R363" s="159"/>
      <c r="S363" s="123" t="s">
        <v>198</v>
      </c>
      <c r="T363" s="159"/>
      <c r="U363" s="160" t="s">
        <v>50</v>
      </c>
      <c r="V363" s="159"/>
    </row>
    <row r="364" spans="2:22" ht="50.1" hidden="1" customHeight="1" outlineLevel="6">
      <c r="B364" s="126"/>
      <c r="C364" s="126"/>
      <c r="D364" s="126"/>
      <c r="E364" s="126"/>
      <c r="F364" s="116" t="s">
        <v>199</v>
      </c>
      <c r="G364" s="127"/>
      <c r="H364" s="144"/>
      <c r="I364" s="119"/>
      <c r="J364" s="279"/>
      <c r="K364" s="282"/>
      <c r="L364" s="118" t="s">
        <v>206</v>
      </c>
      <c r="M364" s="287" t="s">
        <v>410</v>
      </c>
      <c r="N364" s="287"/>
      <c r="O364" s="123" t="s">
        <v>198</v>
      </c>
      <c r="P364" s="159"/>
      <c r="Q364" s="160" t="s">
        <v>50</v>
      </c>
      <c r="R364" s="159"/>
      <c r="S364" s="123" t="s">
        <v>198</v>
      </c>
      <c r="T364" s="159"/>
      <c r="U364" s="160" t="s">
        <v>50</v>
      </c>
      <c r="V364" s="159"/>
    </row>
    <row r="365" spans="2:22" s="147" customFormat="1" ht="50.1" hidden="1" customHeight="1" outlineLevel="4">
      <c r="B365" s="141" t="s">
        <v>502</v>
      </c>
      <c r="C365" s="141"/>
      <c r="D365" s="141"/>
      <c r="E365" s="141"/>
      <c r="F365" s="149" t="s">
        <v>214</v>
      </c>
      <c r="G365" s="143" t="s">
        <v>412</v>
      </c>
      <c r="H365" s="144" t="s">
        <v>216</v>
      </c>
      <c r="I365" s="119" t="s">
        <v>195</v>
      </c>
      <c r="J365" s="153"/>
      <c r="K365" s="143"/>
      <c r="L365" s="143"/>
      <c r="M365" s="268"/>
      <c r="N365" s="268"/>
      <c r="O365" s="123" t="s">
        <v>198</v>
      </c>
      <c r="P365" s="150"/>
      <c r="Q365" s="158" t="s">
        <v>50</v>
      </c>
      <c r="R365" s="150"/>
      <c r="S365" s="123" t="s">
        <v>198</v>
      </c>
      <c r="T365" s="150"/>
      <c r="U365" s="158" t="s">
        <v>50</v>
      </c>
      <c r="V365" s="150"/>
    </row>
    <row r="366" spans="2:22" ht="50.1" hidden="1" customHeight="1" outlineLevel="6">
      <c r="B366" s="126"/>
      <c r="C366" s="126"/>
      <c r="D366" s="126"/>
      <c r="E366" s="126"/>
      <c r="F366" s="116" t="s">
        <v>199</v>
      </c>
      <c r="G366" s="127"/>
      <c r="H366" s="144"/>
      <c r="I366" s="119"/>
      <c r="J366" s="277" t="s">
        <v>498</v>
      </c>
      <c r="K366" s="280" t="s">
        <v>332</v>
      </c>
      <c r="L366" s="118" t="s">
        <v>219</v>
      </c>
      <c r="M366" s="287" t="s">
        <v>210</v>
      </c>
      <c r="N366" s="287"/>
      <c r="O366" s="123" t="s">
        <v>198</v>
      </c>
      <c r="P366" s="159"/>
      <c r="Q366" s="160" t="s">
        <v>50</v>
      </c>
      <c r="R366" s="159"/>
      <c r="S366" s="123" t="s">
        <v>198</v>
      </c>
      <c r="T366" s="159"/>
      <c r="U366" s="160" t="s">
        <v>50</v>
      </c>
      <c r="V366" s="159"/>
    </row>
    <row r="367" spans="2:22" ht="50.1" hidden="1" customHeight="1" outlineLevel="6">
      <c r="B367" s="126"/>
      <c r="C367" s="126"/>
      <c r="D367" s="126"/>
      <c r="E367" s="126"/>
      <c r="F367" s="116" t="s">
        <v>199</v>
      </c>
      <c r="G367" s="127"/>
      <c r="H367" s="144"/>
      <c r="I367" s="119"/>
      <c r="J367" s="278"/>
      <c r="K367" s="281"/>
      <c r="L367" s="128" t="s">
        <v>290</v>
      </c>
      <c r="M367" s="288" t="s">
        <v>211</v>
      </c>
      <c r="N367" s="288"/>
      <c r="O367" s="123" t="s">
        <v>198</v>
      </c>
      <c r="P367" s="159"/>
      <c r="Q367" s="160" t="s">
        <v>50</v>
      </c>
      <c r="R367" s="159"/>
      <c r="S367" s="123" t="s">
        <v>198</v>
      </c>
      <c r="T367" s="159"/>
      <c r="U367" s="160" t="s">
        <v>50</v>
      </c>
      <c r="V367" s="159"/>
    </row>
    <row r="368" spans="2:22" ht="50.1" hidden="1" customHeight="1" outlineLevel="6">
      <c r="B368" s="126"/>
      <c r="C368" s="126"/>
      <c r="D368" s="126"/>
      <c r="E368" s="126"/>
      <c r="F368" s="116" t="s">
        <v>199</v>
      </c>
      <c r="G368" s="127"/>
      <c r="H368" s="144"/>
      <c r="I368" s="119"/>
      <c r="J368" s="279"/>
      <c r="K368" s="282"/>
      <c r="L368" s="118" t="s">
        <v>206</v>
      </c>
      <c r="M368" s="287" t="s">
        <v>212</v>
      </c>
      <c r="N368" s="287"/>
      <c r="O368" s="123" t="s">
        <v>198</v>
      </c>
      <c r="P368" s="159"/>
      <c r="Q368" s="160" t="s">
        <v>50</v>
      </c>
      <c r="R368" s="159"/>
      <c r="S368" s="123" t="s">
        <v>198</v>
      </c>
      <c r="T368" s="159"/>
      <c r="U368" s="160" t="s">
        <v>50</v>
      </c>
      <c r="V368" s="159"/>
    </row>
    <row r="369" spans="2:22" s="147" customFormat="1" ht="50.1" hidden="1" customHeight="1" outlineLevel="4">
      <c r="B369" s="154" t="s">
        <v>503</v>
      </c>
      <c r="C369" s="154"/>
      <c r="D369" s="154"/>
      <c r="E369" s="154"/>
      <c r="F369" s="157" t="s">
        <v>214</v>
      </c>
      <c r="G369" s="156" t="s">
        <v>504</v>
      </c>
      <c r="H369" s="144" t="s">
        <v>216</v>
      </c>
      <c r="I369" s="119" t="s">
        <v>195</v>
      </c>
      <c r="J369" s="153"/>
      <c r="K369" s="143"/>
      <c r="L369" s="143"/>
      <c r="M369" s="268"/>
      <c r="N369" s="268"/>
      <c r="O369" s="123" t="s">
        <v>198</v>
      </c>
      <c r="P369" s="150"/>
      <c r="Q369" s="158" t="s">
        <v>50</v>
      </c>
      <c r="R369" s="150"/>
      <c r="S369" s="123" t="s">
        <v>198</v>
      </c>
      <c r="T369" s="150"/>
      <c r="U369" s="158" t="s">
        <v>50</v>
      </c>
      <c r="V369" s="150"/>
    </row>
    <row r="370" spans="2:22" ht="50.1" hidden="1" customHeight="1" outlineLevel="6">
      <c r="B370" s="126"/>
      <c r="C370" s="126"/>
      <c r="D370" s="126"/>
      <c r="E370" s="126"/>
      <c r="F370" s="116" t="s">
        <v>199</v>
      </c>
      <c r="G370" s="127"/>
      <c r="H370" s="144"/>
      <c r="I370" s="119"/>
      <c r="J370" s="277" t="s">
        <v>498</v>
      </c>
      <c r="K370" s="280" t="s">
        <v>505</v>
      </c>
      <c r="L370" s="118" t="s">
        <v>219</v>
      </c>
      <c r="M370" s="287" t="s">
        <v>210</v>
      </c>
      <c r="N370" s="287"/>
      <c r="O370" s="123" t="s">
        <v>198</v>
      </c>
      <c r="P370" s="159"/>
      <c r="Q370" s="160" t="s">
        <v>50</v>
      </c>
      <c r="R370" s="159"/>
      <c r="S370" s="123" t="s">
        <v>198</v>
      </c>
      <c r="T370" s="159"/>
      <c r="U370" s="160" t="s">
        <v>50</v>
      </c>
      <c r="V370" s="159"/>
    </row>
    <row r="371" spans="2:22" ht="50.1" hidden="1" customHeight="1" outlineLevel="6">
      <c r="B371" s="126"/>
      <c r="C371" s="126"/>
      <c r="D371" s="126"/>
      <c r="E371" s="126"/>
      <c r="F371" s="116" t="s">
        <v>199</v>
      </c>
      <c r="G371" s="127"/>
      <c r="H371" s="144"/>
      <c r="I371" s="119"/>
      <c r="J371" s="278"/>
      <c r="K371" s="281"/>
      <c r="L371" s="128" t="s">
        <v>290</v>
      </c>
      <c r="M371" s="288" t="s">
        <v>211</v>
      </c>
      <c r="N371" s="288"/>
      <c r="O371" s="123" t="s">
        <v>198</v>
      </c>
      <c r="P371" s="159"/>
      <c r="Q371" s="160" t="s">
        <v>50</v>
      </c>
      <c r="R371" s="159"/>
      <c r="S371" s="123" t="s">
        <v>198</v>
      </c>
      <c r="T371" s="159"/>
      <c r="U371" s="160" t="s">
        <v>50</v>
      </c>
      <c r="V371" s="159"/>
    </row>
    <row r="372" spans="2:22" ht="50.1" hidden="1" customHeight="1" outlineLevel="6">
      <c r="B372" s="126"/>
      <c r="C372" s="126"/>
      <c r="D372" s="126"/>
      <c r="E372" s="126"/>
      <c r="F372" s="116" t="s">
        <v>199</v>
      </c>
      <c r="G372" s="127"/>
      <c r="H372" s="144"/>
      <c r="I372" s="119"/>
      <c r="J372" s="279"/>
      <c r="K372" s="282"/>
      <c r="L372" s="118" t="s">
        <v>206</v>
      </c>
      <c r="M372" s="287" t="s">
        <v>212</v>
      </c>
      <c r="N372" s="287"/>
      <c r="O372" s="123" t="s">
        <v>198</v>
      </c>
      <c r="P372" s="159"/>
      <c r="Q372" s="160" t="s">
        <v>50</v>
      </c>
      <c r="R372" s="159"/>
      <c r="S372" s="123" t="s">
        <v>198</v>
      </c>
      <c r="T372" s="159"/>
      <c r="U372" s="160" t="s">
        <v>50</v>
      </c>
      <c r="V372" s="159"/>
    </row>
    <row r="373" spans="2:22" s="147" customFormat="1" ht="50.1" hidden="1" customHeight="1" outlineLevel="4">
      <c r="B373" s="141" t="s">
        <v>506</v>
      </c>
      <c r="C373" s="141"/>
      <c r="D373" s="141"/>
      <c r="E373" s="141"/>
      <c r="F373" s="149" t="s">
        <v>214</v>
      </c>
      <c r="G373" s="143" t="s">
        <v>507</v>
      </c>
      <c r="H373" s="144" t="s">
        <v>233</v>
      </c>
      <c r="I373" s="119" t="s">
        <v>195</v>
      </c>
      <c r="J373" s="153"/>
      <c r="K373" s="143"/>
      <c r="L373" s="143"/>
      <c r="M373" s="268"/>
      <c r="N373" s="268"/>
      <c r="O373" s="123" t="s">
        <v>198</v>
      </c>
      <c r="P373" s="150"/>
      <c r="Q373" s="158" t="s">
        <v>50</v>
      </c>
      <c r="R373" s="150"/>
      <c r="S373" s="123" t="s">
        <v>198</v>
      </c>
      <c r="T373" s="150"/>
      <c r="U373" s="158" t="s">
        <v>50</v>
      </c>
      <c r="V373" s="150"/>
    </row>
    <row r="374" spans="2:22" ht="50.1" hidden="1" customHeight="1" outlineLevel="6">
      <c r="B374" s="126"/>
      <c r="C374" s="126"/>
      <c r="D374" s="126"/>
      <c r="E374" s="126"/>
      <c r="F374" s="116" t="s">
        <v>199</v>
      </c>
      <c r="G374" s="127"/>
      <c r="H374" s="144"/>
      <c r="I374" s="119"/>
      <c r="J374" s="277" t="s">
        <v>498</v>
      </c>
      <c r="K374" s="280" t="s">
        <v>427</v>
      </c>
      <c r="L374" s="118" t="s">
        <v>219</v>
      </c>
      <c r="M374" s="287" t="s">
        <v>508</v>
      </c>
      <c r="N374" s="287"/>
      <c r="O374" s="123" t="s">
        <v>198</v>
      </c>
      <c r="P374" s="159"/>
      <c r="Q374" s="160" t="s">
        <v>50</v>
      </c>
      <c r="R374" s="159"/>
      <c r="S374" s="123" t="s">
        <v>198</v>
      </c>
      <c r="T374" s="159"/>
      <c r="U374" s="160" t="s">
        <v>50</v>
      </c>
      <c r="V374" s="159"/>
    </row>
    <row r="375" spans="2:22" ht="50.1" hidden="1" customHeight="1" outlineLevel="6">
      <c r="B375" s="126"/>
      <c r="C375" s="126"/>
      <c r="D375" s="126"/>
      <c r="E375" s="126"/>
      <c r="F375" s="116" t="s">
        <v>199</v>
      </c>
      <c r="G375" s="127"/>
      <c r="H375" s="144"/>
      <c r="I375" s="119"/>
      <c r="J375" s="278"/>
      <c r="K375" s="281"/>
      <c r="L375" s="128" t="s">
        <v>290</v>
      </c>
      <c r="M375" s="288" t="s">
        <v>211</v>
      </c>
      <c r="N375" s="288"/>
      <c r="O375" s="123" t="s">
        <v>198</v>
      </c>
      <c r="P375" s="159"/>
      <c r="Q375" s="160" t="s">
        <v>50</v>
      </c>
      <c r="R375" s="159"/>
      <c r="S375" s="123" t="s">
        <v>198</v>
      </c>
      <c r="T375" s="159"/>
      <c r="U375" s="160" t="s">
        <v>50</v>
      </c>
      <c r="V375" s="159"/>
    </row>
    <row r="376" spans="2:22" ht="50.1" hidden="1" customHeight="1" outlineLevel="6">
      <c r="B376" s="126"/>
      <c r="C376" s="126"/>
      <c r="D376" s="126"/>
      <c r="E376" s="126"/>
      <c r="F376" s="116" t="s">
        <v>199</v>
      </c>
      <c r="G376" s="127"/>
      <c r="H376" s="144"/>
      <c r="I376" s="119"/>
      <c r="J376" s="279"/>
      <c r="K376" s="282"/>
      <c r="L376" s="118" t="s">
        <v>206</v>
      </c>
      <c r="M376" s="287" t="s">
        <v>212</v>
      </c>
      <c r="N376" s="287"/>
      <c r="O376" s="123" t="s">
        <v>198</v>
      </c>
      <c r="P376" s="159"/>
      <c r="Q376" s="160" t="s">
        <v>50</v>
      </c>
      <c r="R376" s="159"/>
      <c r="S376" s="123" t="s">
        <v>198</v>
      </c>
      <c r="T376" s="159"/>
      <c r="U376" s="160" t="s">
        <v>50</v>
      </c>
      <c r="V376" s="159"/>
    </row>
    <row r="377" spans="2:22" s="147" customFormat="1" ht="50.1" hidden="1" customHeight="1" outlineLevel="4">
      <c r="B377" s="141" t="s">
        <v>509</v>
      </c>
      <c r="C377" s="141"/>
      <c r="D377" s="141"/>
      <c r="E377" s="141"/>
      <c r="F377" s="149" t="s">
        <v>214</v>
      </c>
      <c r="G377" s="143" t="s">
        <v>510</v>
      </c>
      <c r="H377" s="144" t="s">
        <v>233</v>
      </c>
      <c r="I377" s="119" t="s">
        <v>195</v>
      </c>
      <c r="J377" s="153"/>
      <c r="K377" s="143"/>
      <c r="L377" s="143"/>
      <c r="M377" s="268"/>
      <c r="N377" s="268"/>
      <c r="O377" s="123" t="s">
        <v>198</v>
      </c>
      <c r="P377" s="150"/>
      <c r="Q377" s="158" t="s">
        <v>50</v>
      </c>
      <c r="R377" s="150"/>
      <c r="S377" s="123" t="s">
        <v>198</v>
      </c>
      <c r="T377" s="150"/>
      <c r="U377" s="158" t="s">
        <v>50</v>
      </c>
      <c r="V377" s="150"/>
    </row>
    <row r="378" spans="2:22" ht="50.1" hidden="1" customHeight="1" outlineLevel="6">
      <c r="B378" s="126"/>
      <c r="C378" s="126"/>
      <c r="D378" s="126"/>
      <c r="E378" s="126"/>
      <c r="F378" s="116" t="s">
        <v>199</v>
      </c>
      <c r="G378" s="127"/>
      <c r="H378" s="144"/>
      <c r="I378" s="119"/>
      <c r="J378" s="277" t="s">
        <v>498</v>
      </c>
      <c r="K378" s="280" t="s">
        <v>443</v>
      </c>
      <c r="L378" s="118" t="s">
        <v>219</v>
      </c>
      <c r="M378" s="287" t="s">
        <v>508</v>
      </c>
      <c r="N378" s="287"/>
      <c r="O378" s="123" t="s">
        <v>198</v>
      </c>
      <c r="P378" s="159"/>
      <c r="Q378" s="160" t="s">
        <v>50</v>
      </c>
      <c r="R378" s="159"/>
      <c r="S378" s="123" t="s">
        <v>198</v>
      </c>
      <c r="T378" s="159"/>
      <c r="U378" s="160" t="s">
        <v>50</v>
      </c>
      <c r="V378" s="159"/>
    </row>
    <row r="379" spans="2:22" ht="50.1" hidden="1" customHeight="1" outlineLevel="6">
      <c r="B379" s="126"/>
      <c r="C379" s="126"/>
      <c r="D379" s="126"/>
      <c r="E379" s="126"/>
      <c r="F379" s="116" t="s">
        <v>199</v>
      </c>
      <c r="G379" s="127"/>
      <c r="H379" s="144"/>
      <c r="I379" s="119"/>
      <c r="J379" s="278"/>
      <c r="K379" s="281"/>
      <c r="L379" s="128" t="s">
        <v>290</v>
      </c>
      <c r="M379" s="288" t="s">
        <v>211</v>
      </c>
      <c r="N379" s="288"/>
      <c r="O379" s="123" t="s">
        <v>198</v>
      </c>
      <c r="P379" s="159"/>
      <c r="Q379" s="160" t="s">
        <v>50</v>
      </c>
      <c r="R379" s="159"/>
      <c r="S379" s="123" t="s">
        <v>198</v>
      </c>
      <c r="T379" s="159"/>
      <c r="U379" s="160" t="s">
        <v>50</v>
      </c>
      <c r="V379" s="159"/>
    </row>
    <row r="380" spans="2:22" ht="50.1" hidden="1" customHeight="1" outlineLevel="6">
      <c r="B380" s="126"/>
      <c r="C380" s="126"/>
      <c r="D380" s="126"/>
      <c r="E380" s="126"/>
      <c r="F380" s="116" t="s">
        <v>199</v>
      </c>
      <c r="G380" s="127"/>
      <c r="H380" s="144"/>
      <c r="I380" s="119"/>
      <c r="J380" s="279"/>
      <c r="K380" s="282"/>
      <c r="L380" s="118" t="s">
        <v>206</v>
      </c>
      <c r="M380" s="287" t="s">
        <v>212</v>
      </c>
      <c r="N380" s="287"/>
      <c r="O380" s="123" t="s">
        <v>198</v>
      </c>
      <c r="P380" s="159"/>
      <c r="Q380" s="160" t="s">
        <v>50</v>
      </c>
      <c r="R380" s="159"/>
      <c r="S380" s="123" t="s">
        <v>198</v>
      </c>
      <c r="T380" s="159"/>
      <c r="U380" s="160" t="s">
        <v>50</v>
      </c>
      <c r="V380" s="159"/>
    </row>
    <row r="381" spans="2:22" s="173" customFormat="1" ht="80.25" hidden="1" customHeight="1" outlineLevel="4">
      <c r="B381" s="165" t="s">
        <v>511</v>
      </c>
      <c r="C381" s="165"/>
      <c r="D381" s="165"/>
      <c r="E381" s="165"/>
      <c r="F381" s="166" t="s">
        <v>231</v>
      </c>
      <c r="G381" s="167" t="s">
        <v>512</v>
      </c>
      <c r="H381" s="168" t="s">
        <v>216</v>
      </c>
      <c r="I381" s="169" t="s">
        <v>195</v>
      </c>
      <c r="J381" s="170" t="s">
        <v>513</v>
      </c>
      <c r="K381" s="167"/>
      <c r="L381" s="167"/>
      <c r="M381" s="290"/>
      <c r="N381" s="290"/>
      <c r="O381" s="123" t="s">
        <v>198</v>
      </c>
      <c r="P381" s="171"/>
      <c r="Q381" s="172" t="s">
        <v>50</v>
      </c>
      <c r="R381" s="171"/>
      <c r="S381" s="123" t="s">
        <v>198</v>
      </c>
      <c r="T381" s="171"/>
      <c r="U381" s="172" t="s">
        <v>50</v>
      </c>
      <c r="V381" s="171"/>
    </row>
    <row r="382" spans="2:22" ht="50.1" hidden="1" customHeight="1" outlineLevel="6">
      <c r="B382" s="126"/>
      <c r="C382" s="126"/>
      <c r="D382" s="126"/>
      <c r="E382" s="126"/>
      <c r="F382" s="116" t="s">
        <v>199</v>
      </c>
      <c r="G382" s="127"/>
      <c r="H382" s="144"/>
      <c r="I382" s="119"/>
      <c r="J382" s="277" t="s">
        <v>393</v>
      </c>
      <c r="K382" s="280" t="s">
        <v>514</v>
      </c>
      <c r="L382" s="118" t="s">
        <v>219</v>
      </c>
      <c r="M382" s="287" t="s">
        <v>210</v>
      </c>
      <c r="N382" s="287"/>
      <c r="O382" s="123" t="s">
        <v>198</v>
      </c>
      <c r="P382" s="159"/>
      <c r="Q382" s="160" t="s">
        <v>50</v>
      </c>
      <c r="R382" s="159"/>
      <c r="S382" s="123" t="s">
        <v>198</v>
      </c>
      <c r="T382" s="159"/>
      <c r="U382" s="160" t="s">
        <v>50</v>
      </c>
      <c r="V382" s="159"/>
    </row>
    <row r="383" spans="2:22" ht="50.1" hidden="1" customHeight="1" outlineLevel="6">
      <c r="B383" s="126"/>
      <c r="C383" s="126"/>
      <c r="D383" s="126"/>
      <c r="E383" s="126"/>
      <c r="F383" s="116" t="s">
        <v>199</v>
      </c>
      <c r="G383" s="127"/>
      <c r="H383" s="144"/>
      <c r="I383" s="119"/>
      <c r="J383" s="278"/>
      <c r="K383" s="281"/>
      <c r="L383" s="128" t="s">
        <v>290</v>
      </c>
      <c r="M383" s="291" t="s">
        <v>211</v>
      </c>
      <c r="N383" s="291"/>
      <c r="O383" s="123" t="s">
        <v>198</v>
      </c>
      <c r="P383" s="159"/>
      <c r="Q383" s="160" t="s">
        <v>50</v>
      </c>
      <c r="R383" s="159"/>
      <c r="S383" s="123" t="s">
        <v>198</v>
      </c>
      <c r="T383" s="159"/>
      <c r="U383" s="160" t="s">
        <v>50</v>
      </c>
      <c r="V383" s="159"/>
    </row>
    <row r="384" spans="2:22" ht="50.1" hidden="1" customHeight="1" outlineLevel="6">
      <c r="B384" s="126"/>
      <c r="C384" s="126"/>
      <c r="D384" s="126"/>
      <c r="E384" s="126"/>
      <c r="F384" s="116" t="s">
        <v>199</v>
      </c>
      <c r="G384" s="127"/>
      <c r="H384" s="144"/>
      <c r="I384" s="119"/>
      <c r="J384" s="279"/>
      <c r="K384" s="282"/>
      <c r="L384" s="118" t="s">
        <v>206</v>
      </c>
      <c r="M384" s="287" t="s">
        <v>515</v>
      </c>
      <c r="N384" s="287"/>
      <c r="O384" s="123" t="s">
        <v>198</v>
      </c>
      <c r="P384" s="159"/>
      <c r="Q384" s="160" t="s">
        <v>50</v>
      </c>
      <c r="R384" s="159"/>
      <c r="S384" s="123" t="s">
        <v>198</v>
      </c>
      <c r="T384" s="159"/>
      <c r="U384" s="160" t="s">
        <v>50</v>
      </c>
      <c r="V384" s="159"/>
    </row>
    <row r="385" spans="2:22" s="147" customFormat="1" ht="50.1" hidden="1" customHeight="1" outlineLevel="4">
      <c r="B385" s="165" t="s">
        <v>516</v>
      </c>
      <c r="C385" s="165"/>
      <c r="D385" s="165"/>
      <c r="E385" s="165"/>
      <c r="F385" s="149" t="s">
        <v>214</v>
      </c>
      <c r="G385" s="143" t="s">
        <v>517</v>
      </c>
      <c r="H385" s="144" t="s">
        <v>216</v>
      </c>
      <c r="I385" s="119" t="s">
        <v>195</v>
      </c>
      <c r="J385" s="145" t="s">
        <v>518</v>
      </c>
      <c r="K385" s="143"/>
      <c r="L385" s="143"/>
      <c r="M385" s="268"/>
      <c r="N385" s="268"/>
      <c r="O385" s="123" t="s">
        <v>198</v>
      </c>
      <c r="P385" s="150"/>
      <c r="Q385" s="158" t="s">
        <v>50</v>
      </c>
      <c r="R385" s="150"/>
      <c r="S385" s="123" t="s">
        <v>198</v>
      </c>
      <c r="T385" s="150"/>
      <c r="U385" s="158" t="s">
        <v>50</v>
      </c>
      <c r="V385" s="150"/>
    </row>
    <row r="386" spans="2:22" ht="50.1" hidden="1" customHeight="1" outlineLevel="6">
      <c r="B386" s="126"/>
      <c r="C386" s="126"/>
      <c r="D386" s="126"/>
      <c r="E386" s="126"/>
      <c r="F386" s="116" t="s">
        <v>199</v>
      </c>
      <c r="G386" s="127"/>
      <c r="H386" s="144"/>
      <c r="I386" s="119"/>
      <c r="J386" s="277" t="s">
        <v>519</v>
      </c>
      <c r="K386" s="280" t="s">
        <v>362</v>
      </c>
      <c r="L386" s="118" t="s">
        <v>219</v>
      </c>
      <c r="M386" s="287" t="s">
        <v>210</v>
      </c>
      <c r="N386" s="287"/>
      <c r="O386" s="123" t="s">
        <v>198</v>
      </c>
      <c r="P386" s="159"/>
      <c r="Q386" s="160" t="s">
        <v>50</v>
      </c>
      <c r="R386" s="159"/>
      <c r="S386" s="123" t="s">
        <v>198</v>
      </c>
      <c r="T386" s="159"/>
      <c r="U386" s="160" t="s">
        <v>50</v>
      </c>
      <c r="V386" s="159"/>
    </row>
    <row r="387" spans="2:22" ht="50.1" hidden="1" customHeight="1" outlineLevel="6">
      <c r="B387" s="161"/>
      <c r="C387" s="161"/>
      <c r="D387" s="161"/>
      <c r="E387" s="161"/>
      <c r="F387" s="116" t="s">
        <v>199</v>
      </c>
      <c r="G387" s="127"/>
      <c r="H387" s="144"/>
      <c r="I387" s="119"/>
      <c r="J387" s="278"/>
      <c r="K387" s="281"/>
      <c r="L387" s="128" t="s">
        <v>290</v>
      </c>
      <c r="M387" s="288" t="s">
        <v>211</v>
      </c>
      <c r="N387" s="288"/>
      <c r="O387" s="123" t="s">
        <v>198</v>
      </c>
      <c r="P387" s="159"/>
      <c r="Q387" s="160" t="s">
        <v>50</v>
      </c>
      <c r="R387" s="159"/>
      <c r="S387" s="123" t="s">
        <v>198</v>
      </c>
      <c r="T387" s="159"/>
      <c r="U387" s="160" t="s">
        <v>50</v>
      </c>
      <c r="V387" s="159"/>
    </row>
    <row r="388" spans="2:22" ht="50.1" hidden="1" customHeight="1" outlineLevel="6">
      <c r="B388" s="126"/>
      <c r="C388" s="126"/>
      <c r="D388" s="126"/>
      <c r="E388" s="126"/>
      <c r="F388" s="116" t="s">
        <v>199</v>
      </c>
      <c r="G388" s="127"/>
      <c r="H388" s="144"/>
      <c r="I388" s="119"/>
      <c r="J388" s="279"/>
      <c r="K388" s="282"/>
      <c r="L388" s="118" t="s">
        <v>206</v>
      </c>
      <c r="M388" s="289" t="s">
        <v>410</v>
      </c>
      <c r="N388" s="289"/>
      <c r="O388" s="123" t="s">
        <v>198</v>
      </c>
      <c r="P388" s="159"/>
      <c r="Q388" s="160" t="s">
        <v>50</v>
      </c>
      <c r="R388" s="159"/>
      <c r="S388" s="123" t="s">
        <v>198</v>
      </c>
      <c r="T388" s="159"/>
      <c r="U388" s="160" t="s">
        <v>50</v>
      </c>
      <c r="V388" s="159"/>
    </row>
    <row r="389" spans="2:22" s="147" customFormat="1" ht="50.1" hidden="1" customHeight="1" outlineLevel="4">
      <c r="B389" s="141" t="s">
        <v>520</v>
      </c>
      <c r="C389" s="141"/>
      <c r="D389" s="141"/>
      <c r="E389" s="141"/>
      <c r="F389" s="149" t="s">
        <v>214</v>
      </c>
      <c r="G389" s="143" t="s">
        <v>461</v>
      </c>
      <c r="H389" s="144" t="s">
        <v>216</v>
      </c>
      <c r="I389" s="119" t="s">
        <v>195</v>
      </c>
      <c r="J389" s="153"/>
      <c r="K389" s="143"/>
      <c r="L389" s="143"/>
      <c r="M389" s="268"/>
      <c r="N389" s="268"/>
      <c r="O389" s="123" t="s">
        <v>198</v>
      </c>
      <c r="P389" s="150"/>
      <c r="Q389" s="158" t="s">
        <v>50</v>
      </c>
      <c r="R389" s="150"/>
      <c r="S389" s="123" t="s">
        <v>198</v>
      </c>
      <c r="T389" s="150"/>
      <c r="U389" s="158" t="s">
        <v>50</v>
      </c>
      <c r="V389" s="150"/>
    </row>
    <row r="390" spans="2:22" ht="50.1" hidden="1" customHeight="1" outlineLevel="6">
      <c r="B390" s="126"/>
      <c r="C390" s="126"/>
      <c r="D390" s="126"/>
      <c r="E390" s="126"/>
      <c r="F390" s="116" t="s">
        <v>199</v>
      </c>
      <c r="G390" s="127"/>
      <c r="H390" s="144"/>
      <c r="I390" s="119"/>
      <c r="J390" s="277" t="s">
        <v>519</v>
      </c>
      <c r="K390" s="280" t="s">
        <v>462</v>
      </c>
      <c r="L390" s="118" t="s">
        <v>219</v>
      </c>
      <c r="M390" s="287" t="s">
        <v>210</v>
      </c>
      <c r="N390" s="287"/>
      <c r="O390" s="123" t="s">
        <v>198</v>
      </c>
      <c r="P390" s="159"/>
      <c r="Q390" s="160" t="s">
        <v>50</v>
      </c>
      <c r="R390" s="159"/>
      <c r="S390" s="123" t="s">
        <v>198</v>
      </c>
      <c r="T390" s="159"/>
      <c r="U390" s="160" t="s">
        <v>50</v>
      </c>
      <c r="V390" s="159"/>
    </row>
    <row r="391" spans="2:22" ht="50.1" hidden="1" customHeight="1" outlineLevel="6">
      <c r="B391" s="126"/>
      <c r="C391" s="126"/>
      <c r="D391" s="126"/>
      <c r="E391" s="126"/>
      <c r="F391" s="116" t="s">
        <v>199</v>
      </c>
      <c r="G391" s="127"/>
      <c r="H391" s="144"/>
      <c r="I391" s="119"/>
      <c r="J391" s="278"/>
      <c r="K391" s="281"/>
      <c r="L391" s="128" t="s">
        <v>290</v>
      </c>
      <c r="M391" s="288" t="s">
        <v>211</v>
      </c>
      <c r="N391" s="288"/>
      <c r="O391" s="123" t="s">
        <v>198</v>
      </c>
      <c r="P391" s="159"/>
      <c r="Q391" s="160" t="s">
        <v>50</v>
      </c>
      <c r="R391" s="159"/>
      <c r="S391" s="123" t="s">
        <v>198</v>
      </c>
      <c r="T391" s="159"/>
      <c r="U391" s="160" t="s">
        <v>50</v>
      </c>
      <c r="V391" s="159"/>
    </row>
    <row r="392" spans="2:22" ht="50.1" hidden="1" customHeight="1" outlineLevel="6">
      <c r="B392" s="126"/>
      <c r="C392" s="126"/>
      <c r="D392" s="126"/>
      <c r="E392" s="126"/>
      <c r="F392" s="116" t="s">
        <v>199</v>
      </c>
      <c r="G392" s="127"/>
      <c r="H392" s="144"/>
      <c r="I392" s="119"/>
      <c r="J392" s="279"/>
      <c r="K392" s="282"/>
      <c r="L392" s="118" t="s">
        <v>206</v>
      </c>
      <c r="M392" s="287" t="s">
        <v>212</v>
      </c>
      <c r="N392" s="287"/>
      <c r="O392" s="123" t="s">
        <v>198</v>
      </c>
      <c r="P392" s="159"/>
      <c r="Q392" s="160" t="s">
        <v>50</v>
      </c>
      <c r="R392" s="159"/>
      <c r="S392" s="123" t="s">
        <v>198</v>
      </c>
      <c r="T392" s="159"/>
      <c r="U392" s="160" t="s">
        <v>50</v>
      </c>
      <c r="V392" s="159"/>
    </row>
    <row r="393" spans="2:22" s="147" customFormat="1" ht="50.1" hidden="1" customHeight="1" outlineLevel="4">
      <c r="B393" s="141" t="s">
        <v>521</v>
      </c>
      <c r="C393" s="141"/>
      <c r="D393" s="141"/>
      <c r="E393" s="141"/>
      <c r="F393" s="149" t="s">
        <v>281</v>
      </c>
      <c r="G393" s="143" t="s">
        <v>522</v>
      </c>
      <c r="H393" s="144" t="s">
        <v>216</v>
      </c>
      <c r="I393" s="119" t="s">
        <v>195</v>
      </c>
      <c r="J393" s="170" t="s">
        <v>523</v>
      </c>
      <c r="K393" s="143"/>
      <c r="L393" s="143"/>
      <c r="M393" s="268"/>
      <c r="N393" s="268"/>
      <c r="O393" s="123" t="s">
        <v>198</v>
      </c>
      <c r="P393" s="150"/>
      <c r="Q393" s="158" t="s">
        <v>50</v>
      </c>
      <c r="R393" s="150"/>
      <c r="S393" s="123" t="s">
        <v>198</v>
      </c>
      <c r="T393" s="150"/>
      <c r="U393" s="158" t="s">
        <v>50</v>
      </c>
      <c r="V393" s="150"/>
    </row>
    <row r="394" spans="2:22" ht="50.1" hidden="1" customHeight="1" outlineLevel="6">
      <c r="B394" s="126"/>
      <c r="C394" s="126"/>
      <c r="D394" s="126"/>
      <c r="E394" s="126"/>
      <c r="F394" s="116" t="s">
        <v>199</v>
      </c>
      <c r="G394" s="127"/>
      <c r="H394" s="144"/>
      <c r="I394" s="119"/>
      <c r="J394" s="277" t="s">
        <v>524</v>
      </c>
      <c r="K394" s="280" t="s">
        <v>525</v>
      </c>
      <c r="L394" s="118" t="s">
        <v>219</v>
      </c>
      <c r="M394" s="287" t="s">
        <v>210</v>
      </c>
      <c r="N394" s="287"/>
      <c r="O394" s="123" t="s">
        <v>198</v>
      </c>
      <c r="P394" s="159"/>
      <c r="Q394" s="160" t="s">
        <v>50</v>
      </c>
      <c r="R394" s="159"/>
      <c r="S394" s="123" t="s">
        <v>198</v>
      </c>
      <c r="T394" s="159"/>
      <c r="U394" s="160" t="s">
        <v>50</v>
      </c>
      <c r="V394" s="159"/>
    </row>
    <row r="395" spans="2:22" ht="50.1" hidden="1" customHeight="1" outlineLevel="6">
      <c r="B395" s="126"/>
      <c r="C395" s="126"/>
      <c r="D395" s="126"/>
      <c r="E395" s="126"/>
      <c r="F395" s="116" t="s">
        <v>199</v>
      </c>
      <c r="G395" s="127"/>
      <c r="H395" s="144"/>
      <c r="I395" s="119"/>
      <c r="J395" s="278"/>
      <c r="K395" s="281"/>
      <c r="L395" s="128" t="s">
        <v>290</v>
      </c>
      <c r="M395" s="288" t="s">
        <v>211</v>
      </c>
      <c r="N395" s="288"/>
      <c r="O395" s="123" t="s">
        <v>198</v>
      </c>
      <c r="P395" s="159"/>
      <c r="Q395" s="160" t="s">
        <v>50</v>
      </c>
      <c r="R395" s="159"/>
      <c r="S395" s="123" t="s">
        <v>198</v>
      </c>
      <c r="T395" s="159"/>
      <c r="U395" s="160" t="s">
        <v>50</v>
      </c>
      <c r="V395" s="159"/>
    </row>
    <row r="396" spans="2:22" ht="50.1" hidden="1" customHeight="1" outlineLevel="6">
      <c r="B396" s="126"/>
      <c r="C396" s="126"/>
      <c r="D396" s="126"/>
      <c r="E396" s="126"/>
      <c r="F396" s="116" t="s">
        <v>199</v>
      </c>
      <c r="G396" s="127"/>
      <c r="H396" s="144"/>
      <c r="I396" s="119"/>
      <c r="J396" s="279"/>
      <c r="K396" s="282"/>
      <c r="L396" s="118" t="s">
        <v>206</v>
      </c>
      <c r="M396" s="287" t="s">
        <v>526</v>
      </c>
      <c r="N396" s="287"/>
      <c r="O396" s="123" t="s">
        <v>198</v>
      </c>
      <c r="P396" s="159"/>
      <c r="Q396" s="160" t="s">
        <v>50</v>
      </c>
      <c r="R396" s="159"/>
      <c r="S396" s="123" t="s">
        <v>198</v>
      </c>
      <c r="T396" s="159"/>
      <c r="U396" s="160" t="s">
        <v>50</v>
      </c>
      <c r="V396" s="159"/>
    </row>
    <row r="397" spans="2:22" s="173" customFormat="1" ht="50.1" hidden="1" customHeight="1" outlineLevel="4">
      <c r="B397" s="165" t="s">
        <v>527</v>
      </c>
      <c r="C397" s="165"/>
      <c r="D397" s="165"/>
      <c r="E397" s="165"/>
      <c r="F397" s="168" t="s">
        <v>214</v>
      </c>
      <c r="G397" s="167" t="s">
        <v>528</v>
      </c>
      <c r="H397" s="168" t="s">
        <v>216</v>
      </c>
      <c r="I397" s="169" t="s">
        <v>195</v>
      </c>
      <c r="J397" s="170" t="s">
        <v>523</v>
      </c>
      <c r="K397" s="167"/>
      <c r="L397" s="167"/>
      <c r="M397" s="290"/>
      <c r="N397" s="290"/>
      <c r="O397" s="123" t="s">
        <v>198</v>
      </c>
      <c r="P397" s="171"/>
      <c r="Q397" s="172" t="s">
        <v>50</v>
      </c>
      <c r="R397" s="171"/>
      <c r="S397" s="123" t="s">
        <v>198</v>
      </c>
      <c r="T397" s="171"/>
      <c r="U397" s="172" t="s">
        <v>50</v>
      </c>
      <c r="V397" s="171"/>
    </row>
    <row r="398" spans="2:22" ht="50.1" hidden="1" customHeight="1" outlineLevel="6">
      <c r="B398" s="126"/>
      <c r="C398" s="126"/>
      <c r="D398" s="126"/>
      <c r="E398" s="126"/>
      <c r="F398" s="116" t="s">
        <v>199</v>
      </c>
      <c r="G398" s="127"/>
      <c r="H398" s="144"/>
      <c r="I398" s="119"/>
      <c r="J398" s="277" t="s">
        <v>519</v>
      </c>
      <c r="K398" s="280" t="s">
        <v>529</v>
      </c>
      <c r="L398" s="118" t="s">
        <v>219</v>
      </c>
      <c r="M398" s="287" t="s">
        <v>210</v>
      </c>
      <c r="N398" s="287"/>
      <c r="O398" s="123" t="s">
        <v>198</v>
      </c>
      <c r="P398" s="159"/>
      <c r="Q398" s="160" t="s">
        <v>50</v>
      </c>
      <c r="R398" s="159"/>
      <c r="S398" s="123" t="s">
        <v>198</v>
      </c>
      <c r="T398" s="159"/>
      <c r="U398" s="160" t="s">
        <v>50</v>
      </c>
      <c r="V398" s="159"/>
    </row>
    <row r="399" spans="2:22" ht="50.1" hidden="1" customHeight="1" outlineLevel="6">
      <c r="B399" s="126"/>
      <c r="C399" s="126"/>
      <c r="D399" s="126"/>
      <c r="E399" s="126"/>
      <c r="F399" s="116" t="s">
        <v>199</v>
      </c>
      <c r="G399" s="127"/>
      <c r="H399" s="144"/>
      <c r="I399" s="119"/>
      <c r="J399" s="278"/>
      <c r="K399" s="281"/>
      <c r="L399" s="128" t="s">
        <v>290</v>
      </c>
      <c r="M399" s="288" t="s">
        <v>211</v>
      </c>
      <c r="N399" s="288"/>
      <c r="O399" s="123" t="s">
        <v>198</v>
      </c>
      <c r="P399" s="159"/>
      <c r="Q399" s="160" t="s">
        <v>50</v>
      </c>
      <c r="R399" s="159"/>
      <c r="S399" s="123" t="s">
        <v>198</v>
      </c>
      <c r="T399" s="159"/>
      <c r="U399" s="160" t="s">
        <v>50</v>
      </c>
      <c r="V399" s="159"/>
    </row>
    <row r="400" spans="2:22" ht="50.1" hidden="1" customHeight="1" outlineLevel="6">
      <c r="B400" s="126"/>
      <c r="C400" s="126"/>
      <c r="D400" s="126"/>
      <c r="E400" s="126"/>
      <c r="F400" s="116" t="s">
        <v>199</v>
      </c>
      <c r="G400" s="127"/>
      <c r="H400" s="144"/>
      <c r="I400" s="119"/>
      <c r="J400" s="279"/>
      <c r="K400" s="282"/>
      <c r="L400" s="118" t="s">
        <v>206</v>
      </c>
      <c r="M400" s="287" t="s">
        <v>530</v>
      </c>
      <c r="N400" s="287"/>
      <c r="O400" s="123" t="s">
        <v>198</v>
      </c>
      <c r="P400" s="159"/>
      <c r="Q400" s="160" t="s">
        <v>50</v>
      </c>
      <c r="R400" s="159"/>
      <c r="S400" s="123" t="s">
        <v>198</v>
      </c>
      <c r="T400" s="159"/>
      <c r="U400" s="160" t="s">
        <v>50</v>
      </c>
      <c r="V400" s="159"/>
    </row>
    <row r="401" spans="2:22" s="147" customFormat="1" ht="50.1" hidden="1" customHeight="1" outlineLevel="4">
      <c r="B401" s="174" t="s">
        <v>531</v>
      </c>
      <c r="C401" s="174"/>
      <c r="D401" s="174"/>
      <c r="E401" s="174"/>
      <c r="F401" s="157" t="s">
        <v>214</v>
      </c>
      <c r="G401" s="156" t="s">
        <v>464</v>
      </c>
      <c r="H401" s="144" t="s">
        <v>216</v>
      </c>
      <c r="I401" s="119" t="s">
        <v>195</v>
      </c>
      <c r="J401" s="153"/>
      <c r="K401" s="143"/>
      <c r="L401" s="143"/>
      <c r="M401" s="268"/>
      <c r="N401" s="268"/>
      <c r="O401" s="123" t="s">
        <v>198</v>
      </c>
      <c r="P401" s="150"/>
      <c r="Q401" s="158" t="s">
        <v>50</v>
      </c>
      <c r="R401" s="150"/>
      <c r="S401" s="123" t="s">
        <v>198</v>
      </c>
      <c r="T401" s="150"/>
      <c r="U401" s="158" t="s">
        <v>50</v>
      </c>
      <c r="V401" s="150"/>
    </row>
    <row r="402" spans="2:22" ht="50.1" hidden="1" customHeight="1" outlineLevel="6">
      <c r="B402" s="126"/>
      <c r="C402" s="126"/>
      <c r="D402" s="126"/>
      <c r="E402" s="126"/>
      <c r="F402" s="116" t="s">
        <v>199</v>
      </c>
      <c r="G402" s="127"/>
      <c r="H402" s="144"/>
      <c r="I402" s="119"/>
      <c r="J402" s="277" t="s">
        <v>519</v>
      </c>
      <c r="K402" s="280" t="s">
        <v>332</v>
      </c>
      <c r="L402" s="118" t="s">
        <v>219</v>
      </c>
      <c r="M402" s="287" t="s">
        <v>210</v>
      </c>
      <c r="N402" s="287"/>
      <c r="O402" s="123" t="s">
        <v>198</v>
      </c>
      <c r="P402" s="159"/>
      <c r="Q402" s="160" t="s">
        <v>50</v>
      </c>
      <c r="R402" s="159"/>
      <c r="S402" s="123" t="s">
        <v>198</v>
      </c>
      <c r="T402" s="159"/>
      <c r="U402" s="160" t="s">
        <v>50</v>
      </c>
      <c r="V402" s="159"/>
    </row>
    <row r="403" spans="2:22" ht="50.1" hidden="1" customHeight="1" outlineLevel="6">
      <c r="B403" s="126"/>
      <c r="C403" s="126"/>
      <c r="D403" s="126"/>
      <c r="E403" s="126"/>
      <c r="F403" s="116" t="s">
        <v>199</v>
      </c>
      <c r="G403" s="127"/>
      <c r="H403" s="144"/>
      <c r="I403" s="119"/>
      <c r="J403" s="278"/>
      <c r="K403" s="281"/>
      <c r="L403" s="128" t="s">
        <v>290</v>
      </c>
      <c r="M403" s="288" t="s">
        <v>211</v>
      </c>
      <c r="N403" s="288"/>
      <c r="O403" s="123" t="s">
        <v>198</v>
      </c>
      <c r="P403" s="159"/>
      <c r="Q403" s="160" t="s">
        <v>50</v>
      </c>
      <c r="R403" s="159"/>
      <c r="S403" s="123" t="s">
        <v>198</v>
      </c>
      <c r="T403" s="159"/>
      <c r="U403" s="160" t="s">
        <v>50</v>
      </c>
      <c r="V403" s="159"/>
    </row>
    <row r="404" spans="2:22" ht="50.1" hidden="1" customHeight="1" outlineLevel="6">
      <c r="B404" s="126"/>
      <c r="C404" s="126"/>
      <c r="D404" s="126"/>
      <c r="E404" s="126"/>
      <c r="F404" s="116" t="s">
        <v>199</v>
      </c>
      <c r="G404" s="127"/>
      <c r="H404" s="144"/>
      <c r="I404" s="119"/>
      <c r="J404" s="279"/>
      <c r="K404" s="282"/>
      <c r="L404" s="118" t="s">
        <v>206</v>
      </c>
      <c r="M404" s="287" t="s">
        <v>410</v>
      </c>
      <c r="N404" s="287"/>
      <c r="O404" s="123" t="s">
        <v>198</v>
      </c>
      <c r="P404" s="159"/>
      <c r="Q404" s="160" t="s">
        <v>50</v>
      </c>
      <c r="R404" s="159"/>
      <c r="S404" s="123" t="s">
        <v>198</v>
      </c>
      <c r="T404" s="159"/>
      <c r="U404" s="160" t="s">
        <v>50</v>
      </c>
      <c r="V404" s="159"/>
    </row>
    <row r="405" spans="2:22" s="147" customFormat="1" ht="50.1" hidden="1" customHeight="1" outlineLevel="4">
      <c r="B405" s="141" t="s">
        <v>532</v>
      </c>
      <c r="C405" s="141"/>
      <c r="D405" s="141"/>
      <c r="E405" s="141"/>
      <c r="F405" s="149" t="s">
        <v>214</v>
      </c>
      <c r="G405" s="143" t="s">
        <v>533</v>
      </c>
      <c r="H405" s="144" t="s">
        <v>216</v>
      </c>
      <c r="I405" s="119" t="s">
        <v>195</v>
      </c>
      <c r="J405" s="153"/>
      <c r="K405" s="143"/>
      <c r="L405" s="143"/>
      <c r="M405" s="268"/>
      <c r="N405" s="268"/>
      <c r="O405" s="123" t="s">
        <v>198</v>
      </c>
      <c r="P405" s="150"/>
      <c r="Q405" s="158" t="s">
        <v>50</v>
      </c>
      <c r="R405" s="150"/>
      <c r="S405" s="123" t="s">
        <v>198</v>
      </c>
      <c r="T405" s="150"/>
      <c r="U405" s="158" t="s">
        <v>50</v>
      </c>
      <c r="V405" s="150"/>
    </row>
    <row r="406" spans="2:22" ht="50.1" hidden="1" customHeight="1" outlineLevel="6">
      <c r="B406" s="126"/>
      <c r="C406" s="126"/>
      <c r="D406" s="126"/>
      <c r="E406" s="126"/>
      <c r="F406" s="116" t="s">
        <v>199</v>
      </c>
      <c r="G406" s="127"/>
      <c r="H406" s="144"/>
      <c r="I406" s="119"/>
      <c r="J406" s="277" t="s">
        <v>519</v>
      </c>
      <c r="K406" s="280" t="s">
        <v>534</v>
      </c>
      <c r="L406" s="118" t="s">
        <v>219</v>
      </c>
      <c r="M406" s="287" t="s">
        <v>535</v>
      </c>
      <c r="N406" s="287"/>
      <c r="O406" s="123" t="s">
        <v>198</v>
      </c>
      <c r="P406" s="159"/>
      <c r="Q406" s="160" t="s">
        <v>50</v>
      </c>
      <c r="R406" s="159"/>
      <c r="S406" s="123" t="s">
        <v>198</v>
      </c>
      <c r="T406" s="159"/>
      <c r="U406" s="160" t="s">
        <v>50</v>
      </c>
      <c r="V406" s="159"/>
    </row>
    <row r="407" spans="2:22" ht="50.1" hidden="1" customHeight="1" outlineLevel="6">
      <c r="B407" s="126"/>
      <c r="C407" s="126"/>
      <c r="D407" s="126"/>
      <c r="E407" s="126"/>
      <c r="F407" s="116" t="s">
        <v>199</v>
      </c>
      <c r="G407" s="127"/>
      <c r="H407" s="144"/>
      <c r="I407" s="119"/>
      <c r="J407" s="278"/>
      <c r="K407" s="281"/>
      <c r="L407" s="128" t="s">
        <v>290</v>
      </c>
      <c r="M407" s="288" t="s">
        <v>211</v>
      </c>
      <c r="N407" s="288"/>
      <c r="O407" s="123" t="s">
        <v>198</v>
      </c>
      <c r="P407" s="159"/>
      <c r="Q407" s="160" t="s">
        <v>50</v>
      </c>
      <c r="R407" s="159"/>
      <c r="S407" s="123" t="s">
        <v>198</v>
      </c>
      <c r="T407" s="159"/>
      <c r="U407" s="160" t="s">
        <v>50</v>
      </c>
      <c r="V407" s="159"/>
    </row>
    <row r="408" spans="2:22" ht="50.1" hidden="1" customHeight="1" outlineLevel="6">
      <c r="B408" s="126"/>
      <c r="C408" s="126"/>
      <c r="D408" s="126"/>
      <c r="E408" s="126"/>
      <c r="F408" s="116" t="s">
        <v>199</v>
      </c>
      <c r="G408" s="127"/>
      <c r="H408" s="144"/>
      <c r="I408" s="119"/>
      <c r="J408" s="279"/>
      <c r="K408" s="282"/>
      <c r="L408" s="118" t="s">
        <v>206</v>
      </c>
      <c r="M408" s="287" t="s">
        <v>410</v>
      </c>
      <c r="N408" s="287"/>
      <c r="O408" s="123" t="s">
        <v>198</v>
      </c>
      <c r="P408" s="159"/>
      <c r="Q408" s="160" t="s">
        <v>50</v>
      </c>
      <c r="R408" s="159"/>
      <c r="S408" s="123" t="s">
        <v>198</v>
      </c>
      <c r="T408" s="159"/>
      <c r="U408" s="160" t="s">
        <v>50</v>
      </c>
      <c r="V408" s="159"/>
    </row>
    <row r="409" spans="2:22" s="147" customFormat="1" ht="50.1" hidden="1" customHeight="1" outlineLevel="4">
      <c r="B409" s="141" t="s">
        <v>536</v>
      </c>
      <c r="C409" s="141"/>
      <c r="D409" s="141"/>
      <c r="E409" s="141"/>
      <c r="F409" s="142" t="s">
        <v>231</v>
      </c>
      <c r="G409" s="143" t="s">
        <v>537</v>
      </c>
      <c r="H409" s="144" t="s">
        <v>216</v>
      </c>
      <c r="I409" s="119" t="s">
        <v>195</v>
      </c>
      <c r="J409" s="153"/>
      <c r="K409" s="143"/>
      <c r="L409" s="143"/>
      <c r="M409" s="268"/>
      <c r="N409" s="268"/>
      <c r="O409" s="123" t="s">
        <v>198</v>
      </c>
      <c r="P409" s="150"/>
      <c r="Q409" s="158" t="s">
        <v>50</v>
      </c>
      <c r="R409" s="150"/>
      <c r="S409" s="123" t="s">
        <v>198</v>
      </c>
      <c r="T409" s="150"/>
      <c r="U409" s="158" t="s">
        <v>50</v>
      </c>
      <c r="V409" s="150"/>
    </row>
    <row r="410" spans="2:22" ht="50.1" hidden="1" customHeight="1" outlineLevel="6">
      <c r="B410" s="126"/>
      <c r="C410" s="126"/>
      <c r="D410" s="126"/>
      <c r="E410" s="126"/>
      <c r="F410" s="116" t="s">
        <v>199</v>
      </c>
      <c r="G410" s="127"/>
      <c r="H410" s="144"/>
      <c r="I410" s="148"/>
      <c r="J410" s="277" t="s">
        <v>393</v>
      </c>
      <c r="K410" s="280" t="s">
        <v>538</v>
      </c>
      <c r="L410" s="118" t="s">
        <v>219</v>
      </c>
      <c r="M410" s="287" t="s">
        <v>210</v>
      </c>
      <c r="N410" s="287"/>
      <c r="O410" s="123" t="s">
        <v>198</v>
      </c>
      <c r="P410" s="159"/>
      <c r="Q410" s="160" t="s">
        <v>50</v>
      </c>
      <c r="R410" s="159"/>
      <c r="S410" s="123" t="s">
        <v>198</v>
      </c>
      <c r="T410" s="159"/>
      <c r="U410" s="160" t="s">
        <v>50</v>
      </c>
      <c r="V410" s="159"/>
    </row>
    <row r="411" spans="2:22" ht="50.1" hidden="1" customHeight="1" outlineLevel="6">
      <c r="B411" s="126"/>
      <c r="C411" s="126"/>
      <c r="D411" s="126"/>
      <c r="E411" s="126"/>
      <c r="F411" s="116" t="s">
        <v>199</v>
      </c>
      <c r="G411" s="127"/>
      <c r="H411" s="144"/>
      <c r="I411" s="148"/>
      <c r="J411" s="278"/>
      <c r="K411" s="281"/>
      <c r="L411" s="128" t="s">
        <v>290</v>
      </c>
      <c r="M411" s="288" t="s">
        <v>211</v>
      </c>
      <c r="N411" s="288"/>
      <c r="O411" s="123" t="s">
        <v>198</v>
      </c>
      <c r="P411" s="159"/>
      <c r="Q411" s="160" t="s">
        <v>50</v>
      </c>
      <c r="R411" s="159"/>
      <c r="S411" s="123" t="s">
        <v>198</v>
      </c>
      <c r="T411" s="159"/>
      <c r="U411" s="160" t="s">
        <v>50</v>
      </c>
      <c r="V411" s="159"/>
    </row>
    <row r="412" spans="2:22" ht="79.5" hidden="1" customHeight="1" outlineLevel="6">
      <c r="B412" s="126"/>
      <c r="C412" s="126"/>
      <c r="D412" s="126"/>
      <c r="E412" s="126"/>
      <c r="F412" s="116" t="s">
        <v>199</v>
      </c>
      <c r="G412" s="127"/>
      <c r="H412" s="144"/>
      <c r="I412" s="148"/>
      <c r="J412" s="279"/>
      <c r="K412" s="282"/>
      <c r="L412" s="118" t="s">
        <v>206</v>
      </c>
      <c r="M412" s="287" t="s">
        <v>212</v>
      </c>
      <c r="N412" s="287"/>
      <c r="O412" s="123" t="s">
        <v>198</v>
      </c>
      <c r="P412" s="159"/>
      <c r="Q412" s="160" t="s">
        <v>50</v>
      </c>
      <c r="R412" s="159"/>
      <c r="S412" s="123" t="s">
        <v>198</v>
      </c>
      <c r="T412" s="159"/>
      <c r="U412" s="160" t="s">
        <v>50</v>
      </c>
      <c r="V412" s="159"/>
    </row>
    <row r="413" spans="2:22" s="147" customFormat="1" ht="50.1" hidden="1" customHeight="1" outlineLevel="4">
      <c r="B413" s="141" t="s">
        <v>539</v>
      </c>
      <c r="C413" s="141"/>
      <c r="D413" s="141"/>
      <c r="E413" s="141"/>
      <c r="F413" s="149" t="s">
        <v>214</v>
      </c>
      <c r="G413" s="143" t="s">
        <v>540</v>
      </c>
      <c r="H413" s="144" t="s">
        <v>233</v>
      </c>
      <c r="I413" s="119" t="s">
        <v>195</v>
      </c>
      <c r="J413" s="153"/>
      <c r="K413" s="143"/>
      <c r="L413" s="143"/>
      <c r="M413" s="268"/>
      <c r="N413" s="268"/>
      <c r="O413" s="123" t="s">
        <v>198</v>
      </c>
      <c r="P413" s="150"/>
      <c r="Q413" s="158" t="s">
        <v>50</v>
      </c>
      <c r="R413" s="150"/>
      <c r="S413" s="123" t="s">
        <v>198</v>
      </c>
      <c r="T413" s="150"/>
      <c r="U413" s="158" t="s">
        <v>50</v>
      </c>
      <c r="V413" s="150"/>
    </row>
    <row r="414" spans="2:22" ht="50.1" hidden="1" customHeight="1" outlineLevel="6">
      <c r="B414" s="126"/>
      <c r="C414" s="126"/>
      <c r="D414" s="126"/>
      <c r="E414" s="126"/>
      <c r="F414" s="116" t="s">
        <v>199</v>
      </c>
      <c r="G414" s="127"/>
      <c r="H414" s="144"/>
      <c r="I414" s="119"/>
      <c r="J414" s="277" t="s">
        <v>541</v>
      </c>
      <c r="K414" s="280" t="s">
        <v>542</v>
      </c>
      <c r="L414" s="118" t="s">
        <v>219</v>
      </c>
      <c r="M414" s="287" t="s">
        <v>240</v>
      </c>
      <c r="N414" s="287"/>
      <c r="O414" s="123" t="s">
        <v>198</v>
      </c>
      <c r="P414" s="159"/>
      <c r="Q414" s="160" t="s">
        <v>50</v>
      </c>
      <c r="R414" s="159"/>
      <c r="S414" s="123" t="s">
        <v>198</v>
      </c>
      <c r="T414" s="159"/>
      <c r="U414" s="160" t="s">
        <v>50</v>
      </c>
      <c r="V414" s="159"/>
    </row>
    <row r="415" spans="2:22" ht="50.1" hidden="1" customHeight="1" outlineLevel="6">
      <c r="B415" s="126"/>
      <c r="C415" s="126"/>
      <c r="D415" s="126"/>
      <c r="E415" s="126"/>
      <c r="F415" s="116" t="s">
        <v>199</v>
      </c>
      <c r="G415" s="127"/>
      <c r="H415" s="144"/>
      <c r="I415" s="119"/>
      <c r="J415" s="278"/>
      <c r="K415" s="281"/>
      <c r="L415" s="128" t="s">
        <v>290</v>
      </c>
      <c r="M415" s="288" t="s">
        <v>211</v>
      </c>
      <c r="N415" s="288"/>
      <c r="O415" s="123" t="s">
        <v>198</v>
      </c>
      <c r="P415" s="159"/>
      <c r="Q415" s="160" t="s">
        <v>50</v>
      </c>
      <c r="R415" s="159"/>
      <c r="S415" s="123" t="s">
        <v>198</v>
      </c>
      <c r="T415" s="159"/>
      <c r="U415" s="160" t="s">
        <v>50</v>
      </c>
      <c r="V415" s="159"/>
    </row>
    <row r="416" spans="2:22" ht="50.1" hidden="1" customHeight="1" outlineLevel="6">
      <c r="B416" s="126"/>
      <c r="C416" s="126"/>
      <c r="D416" s="126"/>
      <c r="E416" s="126"/>
      <c r="F416" s="116" t="s">
        <v>199</v>
      </c>
      <c r="G416" s="127"/>
      <c r="H416" s="144"/>
      <c r="I416" s="119"/>
      <c r="J416" s="279"/>
      <c r="K416" s="282"/>
      <c r="L416" s="118" t="s">
        <v>206</v>
      </c>
      <c r="M416" s="289" t="s">
        <v>207</v>
      </c>
      <c r="N416" s="289"/>
      <c r="O416" s="123" t="s">
        <v>198</v>
      </c>
      <c r="P416" s="159"/>
      <c r="Q416" s="160" t="s">
        <v>50</v>
      </c>
      <c r="R416" s="159"/>
      <c r="S416" s="123" t="s">
        <v>198</v>
      </c>
      <c r="T416" s="159"/>
      <c r="U416" s="160" t="s">
        <v>50</v>
      </c>
      <c r="V416" s="159"/>
    </row>
    <row r="417" spans="2:22" s="147" customFormat="1" ht="50.1" hidden="1" customHeight="1" outlineLevel="4">
      <c r="B417" s="141" t="s">
        <v>543</v>
      </c>
      <c r="C417" s="141"/>
      <c r="D417" s="141"/>
      <c r="E417" s="141"/>
      <c r="F417" s="149" t="s">
        <v>214</v>
      </c>
      <c r="G417" s="143" t="s">
        <v>401</v>
      </c>
      <c r="H417" s="144" t="s">
        <v>233</v>
      </c>
      <c r="I417" s="119" t="s">
        <v>195</v>
      </c>
      <c r="J417" s="153"/>
      <c r="K417" s="143"/>
      <c r="L417" s="143"/>
      <c r="M417" s="268"/>
      <c r="N417" s="268"/>
      <c r="O417" s="123" t="s">
        <v>198</v>
      </c>
      <c r="P417" s="150"/>
      <c r="Q417" s="158" t="s">
        <v>50</v>
      </c>
      <c r="R417" s="150"/>
      <c r="S417" s="123" t="s">
        <v>198</v>
      </c>
      <c r="T417" s="150"/>
      <c r="U417" s="158" t="s">
        <v>50</v>
      </c>
      <c r="V417" s="150"/>
    </row>
    <row r="418" spans="2:22" ht="50.1" hidden="1" customHeight="1" outlineLevel="6">
      <c r="B418" s="126"/>
      <c r="C418" s="126"/>
      <c r="D418" s="126"/>
      <c r="E418" s="126"/>
      <c r="F418" s="116" t="s">
        <v>199</v>
      </c>
      <c r="G418" s="127"/>
      <c r="H418" s="144"/>
      <c r="I418" s="119"/>
      <c r="J418" s="277" t="s">
        <v>541</v>
      </c>
      <c r="K418" s="280" t="s">
        <v>362</v>
      </c>
      <c r="L418" s="118" t="s">
        <v>219</v>
      </c>
      <c r="M418" s="287" t="s">
        <v>210</v>
      </c>
      <c r="N418" s="287"/>
      <c r="O418" s="123" t="s">
        <v>198</v>
      </c>
      <c r="P418" s="159"/>
      <c r="Q418" s="160" t="s">
        <v>50</v>
      </c>
      <c r="R418" s="159"/>
      <c r="S418" s="123" t="s">
        <v>198</v>
      </c>
      <c r="T418" s="159"/>
      <c r="U418" s="160" t="s">
        <v>50</v>
      </c>
      <c r="V418" s="159"/>
    </row>
    <row r="419" spans="2:22" ht="50.1" hidden="1" customHeight="1" outlineLevel="6">
      <c r="B419" s="161"/>
      <c r="C419" s="161"/>
      <c r="D419" s="161"/>
      <c r="E419" s="161"/>
      <c r="F419" s="116" t="s">
        <v>199</v>
      </c>
      <c r="G419" s="127"/>
      <c r="H419" s="144"/>
      <c r="I419" s="119"/>
      <c r="J419" s="278"/>
      <c r="K419" s="281"/>
      <c r="L419" s="128" t="s">
        <v>290</v>
      </c>
      <c r="M419" s="288" t="s">
        <v>211</v>
      </c>
      <c r="N419" s="288"/>
      <c r="O419" s="123" t="s">
        <v>198</v>
      </c>
      <c r="P419" s="159"/>
      <c r="Q419" s="160" t="s">
        <v>50</v>
      </c>
      <c r="R419" s="159"/>
      <c r="S419" s="123" t="s">
        <v>198</v>
      </c>
      <c r="T419" s="159"/>
      <c r="U419" s="160" t="s">
        <v>50</v>
      </c>
      <c r="V419" s="159"/>
    </row>
    <row r="420" spans="2:22" ht="50.1" hidden="1" customHeight="1" outlineLevel="6">
      <c r="B420" s="126"/>
      <c r="C420" s="126"/>
      <c r="D420" s="126"/>
      <c r="E420" s="126"/>
      <c r="F420" s="116" t="s">
        <v>199</v>
      </c>
      <c r="G420" s="127"/>
      <c r="H420" s="144"/>
      <c r="I420" s="119"/>
      <c r="J420" s="279"/>
      <c r="K420" s="282"/>
      <c r="L420" s="118" t="s">
        <v>206</v>
      </c>
      <c r="M420" s="287" t="s">
        <v>402</v>
      </c>
      <c r="N420" s="287"/>
      <c r="O420" s="123" t="s">
        <v>198</v>
      </c>
      <c r="P420" s="159"/>
      <c r="Q420" s="160" t="s">
        <v>50</v>
      </c>
      <c r="R420" s="159"/>
      <c r="S420" s="123" t="s">
        <v>198</v>
      </c>
      <c r="T420" s="159"/>
      <c r="U420" s="160" t="s">
        <v>50</v>
      </c>
      <c r="V420" s="159"/>
    </row>
    <row r="421" spans="2:22" s="147" customFormat="1" ht="50.1" hidden="1" customHeight="1" outlineLevel="4">
      <c r="B421" s="141" t="s">
        <v>544</v>
      </c>
      <c r="C421" s="141"/>
      <c r="D421" s="141"/>
      <c r="E421" s="141"/>
      <c r="F421" s="149" t="s">
        <v>214</v>
      </c>
      <c r="G421" s="143" t="s">
        <v>545</v>
      </c>
      <c r="H421" s="144" t="s">
        <v>233</v>
      </c>
      <c r="I421" s="119" t="s">
        <v>195</v>
      </c>
      <c r="J421" s="153"/>
      <c r="K421" s="143"/>
      <c r="L421" s="143"/>
      <c r="M421" s="268"/>
      <c r="N421" s="268"/>
      <c r="O421" s="123" t="s">
        <v>198</v>
      </c>
      <c r="P421" s="150"/>
      <c r="Q421" s="158" t="s">
        <v>50</v>
      </c>
      <c r="R421" s="150"/>
      <c r="S421" s="123" t="s">
        <v>198</v>
      </c>
      <c r="T421" s="150"/>
      <c r="U421" s="158" t="s">
        <v>50</v>
      </c>
      <c r="V421" s="150"/>
    </row>
    <row r="422" spans="2:22" ht="50.1" hidden="1" customHeight="1" outlineLevel="6">
      <c r="B422" s="126"/>
      <c r="C422" s="126"/>
      <c r="D422" s="126"/>
      <c r="E422" s="126"/>
      <c r="F422" s="116" t="s">
        <v>199</v>
      </c>
      <c r="G422" s="127"/>
      <c r="H422" s="144"/>
      <c r="I422" s="119"/>
      <c r="J422" s="277" t="s">
        <v>541</v>
      </c>
      <c r="K422" s="280" t="s">
        <v>501</v>
      </c>
      <c r="L422" s="118" t="s">
        <v>219</v>
      </c>
      <c r="M422" s="287" t="s">
        <v>210</v>
      </c>
      <c r="N422" s="287"/>
      <c r="O422" s="123" t="s">
        <v>198</v>
      </c>
      <c r="P422" s="159"/>
      <c r="Q422" s="160" t="s">
        <v>50</v>
      </c>
      <c r="R422" s="159"/>
      <c r="S422" s="123" t="s">
        <v>198</v>
      </c>
      <c r="T422" s="159"/>
      <c r="U422" s="160" t="s">
        <v>50</v>
      </c>
      <c r="V422" s="159"/>
    </row>
    <row r="423" spans="2:22" ht="50.1" hidden="1" customHeight="1" outlineLevel="6">
      <c r="B423" s="126"/>
      <c r="C423" s="126"/>
      <c r="D423" s="126"/>
      <c r="E423" s="126"/>
      <c r="F423" s="116" t="s">
        <v>199</v>
      </c>
      <c r="G423" s="127"/>
      <c r="H423" s="144"/>
      <c r="I423" s="119"/>
      <c r="J423" s="278"/>
      <c r="K423" s="281"/>
      <c r="L423" s="128" t="s">
        <v>290</v>
      </c>
      <c r="M423" s="288" t="s">
        <v>211</v>
      </c>
      <c r="N423" s="288"/>
      <c r="O423" s="123" t="s">
        <v>198</v>
      </c>
      <c r="P423" s="159"/>
      <c r="Q423" s="160" t="s">
        <v>50</v>
      </c>
      <c r="R423" s="159"/>
      <c r="S423" s="123" t="s">
        <v>198</v>
      </c>
      <c r="T423" s="159"/>
      <c r="U423" s="160" t="s">
        <v>50</v>
      </c>
      <c r="V423" s="159"/>
    </row>
    <row r="424" spans="2:22" ht="50.1" hidden="1" customHeight="1" outlineLevel="6">
      <c r="B424" s="126"/>
      <c r="C424" s="126"/>
      <c r="D424" s="126"/>
      <c r="E424" s="126"/>
      <c r="F424" s="116" t="s">
        <v>199</v>
      </c>
      <c r="G424" s="127"/>
      <c r="H424" s="144"/>
      <c r="I424" s="119"/>
      <c r="J424" s="279"/>
      <c r="K424" s="282"/>
      <c r="L424" s="118" t="s">
        <v>206</v>
      </c>
      <c r="M424" s="287" t="s">
        <v>212</v>
      </c>
      <c r="N424" s="287"/>
      <c r="O424" s="123" t="s">
        <v>198</v>
      </c>
      <c r="P424" s="159"/>
      <c r="Q424" s="160" t="s">
        <v>50</v>
      </c>
      <c r="R424" s="159"/>
      <c r="S424" s="123" t="s">
        <v>198</v>
      </c>
      <c r="T424" s="159"/>
      <c r="U424" s="160" t="s">
        <v>50</v>
      </c>
      <c r="V424" s="159"/>
    </row>
    <row r="425" spans="2:22" s="147" customFormat="1" ht="50.1" hidden="1" customHeight="1" outlineLevel="4">
      <c r="B425" s="141" t="s">
        <v>546</v>
      </c>
      <c r="C425" s="141"/>
      <c r="D425" s="141"/>
      <c r="E425" s="141"/>
      <c r="F425" s="149" t="s">
        <v>214</v>
      </c>
      <c r="G425" s="143" t="s">
        <v>414</v>
      </c>
      <c r="H425" s="144" t="s">
        <v>233</v>
      </c>
      <c r="I425" s="119" t="s">
        <v>195</v>
      </c>
      <c r="J425" s="153"/>
      <c r="K425" s="143"/>
      <c r="L425" s="143"/>
      <c r="M425" s="268"/>
      <c r="N425" s="268"/>
      <c r="O425" s="123" t="s">
        <v>198</v>
      </c>
      <c r="P425" s="150"/>
      <c r="Q425" s="158" t="s">
        <v>50</v>
      </c>
      <c r="R425" s="150"/>
      <c r="S425" s="123" t="s">
        <v>198</v>
      </c>
      <c r="T425" s="150"/>
      <c r="U425" s="158" t="s">
        <v>50</v>
      </c>
      <c r="V425" s="150"/>
    </row>
    <row r="426" spans="2:22" ht="50.1" hidden="1" customHeight="1" outlineLevel="6">
      <c r="B426" s="126"/>
      <c r="C426" s="126"/>
      <c r="D426" s="126"/>
      <c r="E426" s="126"/>
      <c r="F426" s="116" t="s">
        <v>199</v>
      </c>
      <c r="G426" s="127"/>
      <c r="H426" s="144"/>
      <c r="I426" s="119"/>
      <c r="J426" s="277" t="s">
        <v>541</v>
      </c>
      <c r="K426" s="280" t="s">
        <v>415</v>
      </c>
      <c r="L426" s="118" t="s">
        <v>219</v>
      </c>
      <c r="M426" s="287" t="s">
        <v>508</v>
      </c>
      <c r="N426" s="287"/>
      <c r="O426" s="123" t="s">
        <v>198</v>
      </c>
      <c r="P426" s="159"/>
      <c r="Q426" s="160" t="s">
        <v>50</v>
      </c>
      <c r="R426" s="159"/>
      <c r="S426" s="123" t="s">
        <v>198</v>
      </c>
      <c r="T426" s="159"/>
      <c r="U426" s="160" t="s">
        <v>50</v>
      </c>
      <c r="V426" s="159"/>
    </row>
    <row r="427" spans="2:22" ht="50.1" hidden="1" customHeight="1" outlineLevel="6">
      <c r="B427" s="126"/>
      <c r="C427" s="126"/>
      <c r="D427" s="126"/>
      <c r="E427" s="126"/>
      <c r="F427" s="116" t="s">
        <v>199</v>
      </c>
      <c r="G427" s="127"/>
      <c r="H427" s="144"/>
      <c r="I427" s="119"/>
      <c r="J427" s="278"/>
      <c r="K427" s="281"/>
      <c r="L427" s="128" t="s">
        <v>290</v>
      </c>
      <c r="M427" s="288" t="s">
        <v>211</v>
      </c>
      <c r="N427" s="288"/>
      <c r="O427" s="123" t="s">
        <v>198</v>
      </c>
      <c r="P427" s="159"/>
      <c r="Q427" s="160" t="s">
        <v>50</v>
      </c>
      <c r="R427" s="159"/>
      <c r="S427" s="123" t="s">
        <v>198</v>
      </c>
      <c r="T427" s="159"/>
      <c r="U427" s="160" t="s">
        <v>50</v>
      </c>
      <c r="V427" s="159"/>
    </row>
    <row r="428" spans="2:22" ht="50.1" hidden="1" customHeight="1" outlineLevel="6">
      <c r="B428" s="126"/>
      <c r="C428" s="126"/>
      <c r="D428" s="126"/>
      <c r="E428" s="126"/>
      <c r="F428" s="116" t="s">
        <v>199</v>
      </c>
      <c r="G428" s="127"/>
      <c r="H428" s="144"/>
      <c r="I428" s="119"/>
      <c r="J428" s="279"/>
      <c r="K428" s="282"/>
      <c r="L428" s="118" t="s">
        <v>206</v>
      </c>
      <c r="M428" s="287" t="s">
        <v>212</v>
      </c>
      <c r="N428" s="287"/>
      <c r="O428" s="123" t="s">
        <v>198</v>
      </c>
      <c r="P428" s="159"/>
      <c r="Q428" s="160" t="s">
        <v>50</v>
      </c>
      <c r="R428" s="159"/>
      <c r="S428" s="123" t="s">
        <v>198</v>
      </c>
      <c r="T428" s="159"/>
      <c r="U428" s="160" t="s">
        <v>50</v>
      </c>
      <c r="V428" s="159"/>
    </row>
    <row r="429" spans="2:22" s="147" customFormat="1" ht="50.1" hidden="1" customHeight="1" outlineLevel="4">
      <c r="B429" s="141" t="s">
        <v>547</v>
      </c>
      <c r="C429" s="141"/>
      <c r="D429" s="141"/>
      <c r="E429" s="141"/>
      <c r="F429" s="149" t="s">
        <v>214</v>
      </c>
      <c r="G429" s="143" t="s">
        <v>417</v>
      </c>
      <c r="H429" s="144" t="s">
        <v>233</v>
      </c>
      <c r="I429" s="119" t="s">
        <v>195</v>
      </c>
      <c r="J429" s="153"/>
      <c r="K429" s="143"/>
      <c r="L429" s="143"/>
      <c r="M429" s="268"/>
      <c r="N429" s="268"/>
      <c r="O429" s="123" t="s">
        <v>198</v>
      </c>
      <c r="P429" s="150"/>
      <c r="Q429" s="158" t="s">
        <v>50</v>
      </c>
      <c r="R429" s="150"/>
      <c r="S429" s="123" t="s">
        <v>198</v>
      </c>
      <c r="T429" s="150"/>
      <c r="U429" s="158" t="s">
        <v>50</v>
      </c>
      <c r="V429" s="150"/>
    </row>
    <row r="430" spans="2:22" ht="50.1" hidden="1" customHeight="1" outlineLevel="6">
      <c r="B430" s="126"/>
      <c r="C430" s="126"/>
      <c r="D430" s="126"/>
      <c r="E430" s="126"/>
      <c r="F430" s="116" t="s">
        <v>199</v>
      </c>
      <c r="G430" s="127"/>
      <c r="H430" s="144"/>
      <c r="I430" s="119"/>
      <c r="J430" s="277" t="s">
        <v>541</v>
      </c>
      <c r="K430" s="280" t="s">
        <v>418</v>
      </c>
      <c r="L430" s="118" t="s">
        <v>219</v>
      </c>
      <c r="M430" s="287" t="s">
        <v>508</v>
      </c>
      <c r="N430" s="287"/>
      <c r="O430" s="123" t="s">
        <v>198</v>
      </c>
      <c r="P430" s="159"/>
      <c r="Q430" s="160" t="s">
        <v>50</v>
      </c>
      <c r="R430" s="159"/>
      <c r="S430" s="123" t="s">
        <v>198</v>
      </c>
      <c r="T430" s="159"/>
      <c r="U430" s="160" t="s">
        <v>50</v>
      </c>
      <c r="V430" s="159"/>
    </row>
    <row r="431" spans="2:22" ht="50.1" hidden="1" customHeight="1" outlineLevel="6">
      <c r="B431" s="126"/>
      <c r="C431" s="126"/>
      <c r="D431" s="126"/>
      <c r="E431" s="126"/>
      <c r="F431" s="116" t="s">
        <v>199</v>
      </c>
      <c r="G431" s="127"/>
      <c r="H431" s="144"/>
      <c r="I431" s="119"/>
      <c r="J431" s="278"/>
      <c r="K431" s="281"/>
      <c r="L431" s="128" t="s">
        <v>290</v>
      </c>
      <c r="M431" s="288" t="s">
        <v>211</v>
      </c>
      <c r="N431" s="288"/>
      <c r="O431" s="123" t="s">
        <v>198</v>
      </c>
      <c r="P431" s="159"/>
      <c r="Q431" s="160" t="s">
        <v>50</v>
      </c>
      <c r="R431" s="159"/>
      <c r="S431" s="123" t="s">
        <v>198</v>
      </c>
      <c r="T431" s="159"/>
      <c r="U431" s="160" t="s">
        <v>50</v>
      </c>
      <c r="V431" s="159"/>
    </row>
    <row r="432" spans="2:22" ht="50.1" hidden="1" customHeight="1" outlineLevel="6">
      <c r="B432" s="126"/>
      <c r="C432" s="126"/>
      <c r="D432" s="126"/>
      <c r="E432" s="126"/>
      <c r="F432" s="116" t="s">
        <v>199</v>
      </c>
      <c r="G432" s="127"/>
      <c r="H432" s="144"/>
      <c r="I432" s="119"/>
      <c r="J432" s="279"/>
      <c r="K432" s="282"/>
      <c r="L432" s="118" t="s">
        <v>206</v>
      </c>
      <c r="M432" s="287" t="s">
        <v>212</v>
      </c>
      <c r="N432" s="287"/>
      <c r="O432" s="123" t="s">
        <v>198</v>
      </c>
      <c r="P432" s="159"/>
      <c r="Q432" s="160" t="s">
        <v>50</v>
      </c>
      <c r="R432" s="159"/>
      <c r="S432" s="123" t="s">
        <v>198</v>
      </c>
      <c r="T432" s="159"/>
      <c r="U432" s="160" t="s">
        <v>50</v>
      </c>
      <c r="V432" s="159"/>
    </row>
    <row r="433" spans="2:22" s="147" customFormat="1" ht="50.1" hidden="1" customHeight="1" outlineLevel="4">
      <c r="B433" s="141" t="s">
        <v>548</v>
      </c>
      <c r="C433" s="141"/>
      <c r="D433" s="141"/>
      <c r="E433" s="141"/>
      <c r="F433" s="149" t="s">
        <v>214</v>
      </c>
      <c r="G433" s="143" t="s">
        <v>426</v>
      </c>
      <c r="H433" s="144" t="s">
        <v>233</v>
      </c>
      <c r="I433" s="119" t="s">
        <v>195</v>
      </c>
      <c r="J433" s="153"/>
      <c r="K433" s="143"/>
      <c r="L433" s="143"/>
      <c r="M433" s="268"/>
      <c r="N433" s="268"/>
      <c r="O433" s="123" t="s">
        <v>198</v>
      </c>
      <c r="P433" s="150"/>
      <c r="Q433" s="158" t="s">
        <v>50</v>
      </c>
      <c r="R433" s="150"/>
      <c r="S433" s="123" t="s">
        <v>198</v>
      </c>
      <c r="T433" s="150"/>
      <c r="U433" s="158" t="s">
        <v>50</v>
      </c>
      <c r="V433" s="150"/>
    </row>
    <row r="434" spans="2:22" ht="50.1" hidden="1" customHeight="1" outlineLevel="6">
      <c r="B434" s="126"/>
      <c r="C434" s="126"/>
      <c r="D434" s="126"/>
      <c r="E434" s="126"/>
      <c r="F434" s="116" t="s">
        <v>199</v>
      </c>
      <c r="G434" s="127"/>
      <c r="H434" s="144"/>
      <c r="I434" s="119"/>
      <c r="J434" s="277" t="s">
        <v>541</v>
      </c>
      <c r="K434" s="280" t="s">
        <v>427</v>
      </c>
      <c r="L434" s="118" t="s">
        <v>219</v>
      </c>
      <c r="M434" s="287" t="s">
        <v>508</v>
      </c>
      <c r="N434" s="287"/>
      <c r="O434" s="123" t="s">
        <v>198</v>
      </c>
      <c r="P434" s="159"/>
      <c r="Q434" s="160" t="s">
        <v>50</v>
      </c>
      <c r="R434" s="159"/>
      <c r="S434" s="123" t="s">
        <v>198</v>
      </c>
      <c r="T434" s="159"/>
      <c r="U434" s="160" t="s">
        <v>50</v>
      </c>
      <c r="V434" s="159"/>
    </row>
    <row r="435" spans="2:22" ht="50.1" hidden="1" customHeight="1" outlineLevel="6">
      <c r="B435" s="126"/>
      <c r="C435" s="126"/>
      <c r="D435" s="126"/>
      <c r="E435" s="126"/>
      <c r="F435" s="116" t="s">
        <v>199</v>
      </c>
      <c r="G435" s="127"/>
      <c r="H435" s="144"/>
      <c r="I435" s="119"/>
      <c r="J435" s="278"/>
      <c r="K435" s="281"/>
      <c r="L435" s="128" t="s">
        <v>290</v>
      </c>
      <c r="M435" s="288" t="s">
        <v>211</v>
      </c>
      <c r="N435" s="288"/>
      <c r="O435" s="123" t="s">
        <v>198</v>
      </c>
      <c r="P435" s="159"/>
      <c r="Q435" s="160" t="s">
        <v>50</v>
      </c>
      <c r="R435" s="159"/>
      <c r="S435" s="123" t="s">
        <v>198</v>
      </c>
      <c r="T435" s="159"/>
      <c r="U435" s="160" t="s">
        <v>50</v>
      </c>
      <c r="V435" s="159"/>
    </row>
    <row r="436" spans="2:22" ht="50.1" hidden="1" customHeight="1" outlineLevel="6">
      <c r="B436" s="126"/>
      <c r="C436" s="126"/>
      <c r="D436" s="126"/>
      <c r="E436" s="126"/>
      <c r="F436" s="116" t="s">
        <v>199</v>
      </c>
      <c r="G436" s="127"/>
      <c r="H436" s="144"/>
      <c r="I436" s="119"/>
      <c r="J436" s="279"/>
      <c r="K436" s="282"/>
      <c r="L436" s="118" t="s">
        <v>206</v>
      </c>
      <c r="M436" s="287" t="s">
        <v>212</v>
      </c>
      <c r="N436" s="287"/>
      <c r="O436" s="123" t="s">
        <v>198</v>
      </c>
      <c r="P436" s="159"/>
      <c r="Q436" s="160" t="s">
        <v>50</v>
      </c>
      <c r="R436" s="159"/>
      <c r="S436" s="123" t="s">
        <v>198</v>
      </c>
      <c r="T436" s="159"/>
      <c r="U436" s="160" t="s">
        <v>50</v>
      </c>
      <c r="V436" s="159"/>
    </row>
    <row r="437" spans="2:22" s="147" customFormat="1" ht="50.1" hidden="1" customHeight="1" outlineLevel="4">
      <c r="B437" s="141" t="s">
        <v>549</v>
      </c>
      <c r="C437" s="141"/>
      <c r="D437" s="141"/>
      <c r="E437" s="141"/>
      <c r="F437" s="149" t="s">
        <v>214</v>
      </c>
      <c r="G437" s="143" t="s">
        <v>434</v>
      </c>
      <c r="H437" s="144" t="s">
        <v>233</v>
      </c>
      <c r="I437" s="119" t="s">
        <v>195</v>
      </c>
      <c r="J437" s="153"/>
      <c r="K437" s="143"/>
      <c r="L437" s="143"/>
      <c r="M437" s="268"/>
      <c r="N437" s="268"/>
      <c r="O437" s="123" t="s">
        <v>198</v>
      </c>
      <c r="P437" s="150"/>
      <c r="Q437" s="158" t="s">
        <v>50</v>
      </c>
      <c r="R437" s="150"/>
      <c r="S437" s="123" t="s">
        <v>198</v>
      </c>
      <c r="T437" s="150"/>
      <c r="U437" s="158" t="s">
        <v>50</v>
      </c>
      <c r="V437" s="150"/>
    </row>
    <row r="438" spans="2:22" ht="50.1" hidden="1" customHeight="1" outlineLevel="6">
      <c r="B438" s="126"/>
      <c r="C438" s="126"/>
      <c r="D438" s="126"/>
      <c r="E438" s="126"/>
      <c r="F438" s="116" t="s">
        <v>199</v>
      </c>
      <c r="G438" s="127"/>
      <c r="H438" s="144"/>
      <c r="I438" s="148"/>
      <c r="J438" s="277" t="s">
        <v>541</v>
      </c>
      <c r="K438" s="280" t="s">
        <v>484</v>
      </c>
      <c r="L438" s="118" t="s">
        <v>219</v>
      </c>
      <c r="M438" s="287" t="s">
        <v>508</v>
      </c>
      <c r="N438" s="287"/>
      <c r="O438" s="123" t="s">
        <v>198</v>
      </c>
      <c r="P438" s="159"/>
      <c r="Q438" s="160" t="s">
        <v>50</v>
      </c>
      <c r="R438" s="159"/>
      <c r="S438" s="123" t="s">
        <v>198</v>
      </c>
      <c r="T438" s="159"/>
      <c r="U438" s="160" t="s">
        <v>50</v>
      </c>
      <c r="V438" s="159"/>
    </row>
    <row r="439" spans="2:22" ht="50.1" hidden="1" customHeight="1" outlineLevel="6">
      <c r="B439" s="126"/>
      <c r="C439" s="126"/>
      <c r="D439" s="126"/>
      <c r="E439" s="126"/>
      <c r="F439" s="116" t="s">
        <v>199</v>
      </c>
      <c r="G439" s="127"/>
      <c r="H439" s="144"/>
      <c r="I439" s="148"/>
      <c r="J439" s="278"/>
      <c r="K439" s="281"/>
      <c r="L439" s="128" t="s">
        <v>290</v>
      </c>
      <c r="M439" s="288" t="s">
        <v>211</v>
      </c>
      <c r="N439" s="288"/>
      <c r="O439" s="123" t="s">
        <v>198</v>
      </c>
      <c r="P439" s="159"/>
      <c r="Q439" s="160" t="s">
        <v>50</v>
      </c>
      <c r="R439" s="159"/>
      <c r="S439" s="123" t="s">
        <v>198</v>
      </c>
      <c r="T439" s="159"/>
      <c r="U439" s="160" t="s">
        <v>50</v>
      </c>
      <c r="V439" s="159"/>
    </row>
    <row r="440" spans="2:22" ht="50.1" hidden="1" customHeight="1" outlineLevel="6">
      <c r="B440" s="126"/>
      <c r="C440" s="126"/>
      <c r="D440" s="126"/>
      <c r="E440" s="126"/>
      <c r="F440" s="116" t="s">
        <v>199</v>
      </c>
      <c r="G440" s="127"/>
      <c r="H440" s="144"/>
      <c r="I440" s="148"/>
      <c r="J440" s="279"/>
      <c r="K440" s="282"/>
      <c r="L440" s="118" t="s">
        <v>206</v>
      </c>
      <c r="M440" s="287" t="s">
        <v>410</v>
      </c>
      <c r="N440" s="287"/>
      <c r="O440" s="123" t="s">
        <v>198</v>
      </c>
      <c r="P440" s="159"/>
      <c r="Q440" s="160" t="s">
        <v>50</v>
      </c>
      <c r="R440" s="159"/>
      <c r="S440" s="123" t="s">
        <v>198</v>
      </c>
      <c r="T440" s="159"/>
      <c r="U440" s="160" t="s">
        <v>50</v>
      </c>
      <c r="V440" s="159"/>
    </row>
    <row r="441" spans="2:22" s="147" customFormat="1" ht="50.1" hidden="1" customHeight="1" outlineLevel="4">
      <c r="B441" s="141" t="s">
        <v>550</v>
      </c>
      <c r="C441" s="141"/>
      <c r="D441" s="141"/>
      <c r="E441" s="141"/>
      <c r="F441" s="149" t="s">
        <v>214</v>
      </c>
      <c r="G441" s="143" t="s">
        <v>442</v>
      </c>
      <c r="H441" s="144" t="s">
        <v>233</v>
      </c>
      <c r="I441" s="119" t="s">
        <v>195</v>
      </c>
      <c r="J441" s="153"/>
      <c r="K441" s="143"/>
      <c r="L441" s="143"/>
      <c r="M441" s="268"/>
      <c r="N441" s="268"/>
      <c r="O441" s="123" t="s">
        <v>198</v>
      </c>
      <c r="P441" s="150"/>
      <c r="Q441" s="158" t="s">
        <v>50</v>
      </c>
      <c r="R441" s="150"/>
      <c r="S441" s="123" t="s">
        <v>198</v>
      </c>
      <c r="T441" s="150"/>
      <c r="U441" s="158" t="s">
        <v>50</v>
      </c>
      <c r="V441" s="150"/>
    </row>
    <row r="442" spans="2:22" ht="50.1" hidden="1" customHeight="1" outlineLevel="6">
      <c r="B442" s="126"/>
      <c r="C442" s="126"/>
      <c r="D442" s="126"/>
      <c r="E442" s="126"/>
      <c r="F442" s="116" t="s">
        <v>199</v>
      </c>
      <c r="G442" s="127"/>
      <c r="H442" s="144"/>
      <c r="I442" s="119"/>
      <c r="J442" s="277" t="s">
        <v>541</v>
      </c>
      <c r="K442" s="280" t="s">
        <v>443</v>
      </c>
      <c r="L442" s="118" t="s">
        <v>219</v>
      </c>
      <c r="M442" s="287" t="s">
        <v>508</v>
      </c>
      <c r="N442" s="287"/>
      <c r="O442" s="123" t="s">
        <v>198</v>
      </c>
      <c r="P442" s="159"/>
      <c r="Q442" s="160" t="s">
        <v>50</v>
      </c>
      <c r="R442" s="159"/>
      <c r="S442" s="123" t="s">
        <v>198</v>
      </c>
      <c r="T442" s="159"/>
      <c r="U442" s="160" t="s">
        <v>50</v>
      </c>
      <c r="V442" s="159"/>
    </row>
    <row r="443" spans="2:22" ht="50.1" hidden="1" customHeight="1" outlineLevel="6">
      <c r="B443" s="126"/>
      <c r="C443" s="126"/>
      <c r="D443" s="126"/>
      <c r="E443" s="126"/>
      <c r="F443" s="116" t="s">
        <v>199</v>
      </c>
      <c r="G443" s="127"/>
      <c r="H443" s="144"/>
      <c r="I443" s="119"/>
      <c r="J443" s="278"/>
      <c r="K443" s="281"/>
      <c r="L443" s="128" t="s">
        <v>290</v>
      </c>
      <c r="M443" s="288" t="s">
        <v>211</v>
      </c>
      <c r="N443" s="288"/>
      <c r="O443" s="123" t="s">
        <v>198</v>
      </c>
      <c r="P443" s="159"/>
      <c r="Q443" s="160" t="s">
        <v>50</v>
      </c>
      <c r="R443" s="159"/>
      <c r="S443" s="123" t="s">
        <v>198</v>
      </c>
      <c r="T443" s="159"/>
      <c r="U443" s="160" t="s">
        <v>50</v>
      </c>
      <c r="V443" s="159"/>
    </row>
    <row r="444" spans="2:22" ht="50.1" hidden="1" customHeight="1" outlineLevel="6">
      <c r="B444" s="126"/>
      <c r="C444" s="126"/>
      <c r="D444" s="126"/>
      <c r="E444" s="126"/>
      <c r="F444" s="116" t="s">
        <v>199</v>
      </c>
      <c r="G444" s="127"/>
      <c r="H444" s="144"/>
      <c r="I444" s="119"/>
      <c r="J444" s="279"/>
      <c r="K444" s="282"/>
      <c r="L444" s="118" t="s">
        <v>206</v>
      </c>
      <c r="M444" s="287" t="s">
        <v>212</v>
      </c>
      <c r="N444" s="287"/>
      <c r="O444" s="123" t="s">
        <v>198</v>
      </c>
      <c r="P444" s="159"/>
      <c r="Q444" s="160" t="s">
        <v>50</v>
      </c>
      <c r="R444" s="159"/>
      <c r="S444" s="123" t="s">
        <v>198</v>
      </c>
      <c r="T444" s="159"/>
      <c r="U444" s="160" t="s">
        <v>50</v>
      </c>
      <c r="V444" s="159"/>
    </row>
    <row r="445" spans="2:22" s="147" customFormat="1" ht="50.1" hidden="1" customHeight="1" outlineLevel="4">
      <c r="B445" s="141" t="s">
        <v>551</v>
      </c>
      <c r="C445" s="141"/>
      <c r="D445" s="141"/>
      <c r="E445" s="141"/>
      <c r="F445" s="149" t="s">
        <v>214</v>
      </c>
      <c r="G445" s="143" t="s">
        <v>445</v>
      </c>
      <c r="H445" s="144" t="s">
        <v>233</v>
      </c>
      <c r="I445" s="119" t="s">
        <v>195</v>
      </c>
      <c r="J445" s="153"/>
      <c r="K445" s="143"/>
      <c r="L445" s="143"/>
      <c r="M445" s="268"/>
      <c r="N445" s="268"/>
      <c r="O445" s="123" t="s">
        <v>198</v>
      </c>
      <c r="P445" s="150"/>
      <c r="Q445" s="158" t="s">
        <v>50</v>
      </c>
      <c r="R445" s="150"/>
      <c r="S445" s="123" t="s">
        <v>198</v>
      </c>
      <c r="T445" s="150"/>
      <c r="U445" s="158" t="s">
        <v>50</v>
      </c>
      <c r="V445" s="150"/>
    </row>
    <row r="446" spans="2:22" ht="50.1" hidden="1" customHeight="1" outlineLevel="6">
      <c r="B446" s="126"/>
      <c r="C446" s="126"/>
      <c r="D446" s="126"/>
      <c r="E446" s="126"/>
      <c r="F446" s="116" t="s">
        <v>199</v>
      </c>
      <c r="G446" s="127"/>
      <c r="H446" s="144"/>
      <c r="I446" s="119"/>
      <c r="J446" s="277" t="s">
        <v>541</v>
      </c>
      <c r="K446" s="280" t="s">
        <v>446</v>
      </c>
      <c r="L446" s="118" t="s">
        <v>219</v>
      </c>
      <c r="M446" s="287" t="s">
        <v>508</v>
      </c>
      <c r="N446" s="287"/>
      <c r="O446" s="123" t="s">
        <v>198</v>
      </c>
      <c r="P446" s="159"/>
      <c r="Q446" s="160" t="s">
        <v>50</v>
      </c>
      <c r="R446" s="159"/>
      <c r="S446" s="123" t="s">
        <v>198</v>
      </c>
      <c r="T446" s="159"/>
      <c r="U446" s="160" t="s">
        <v>50</v>
      </c>
      <c r="V446" s="159"/>
    </row>
    <row r="447" spans="2:22" ht="50.1" hidden="1" customHeight="1" outlineLevel="6">
      <c r="B447" s="126"/>
      <c r="C447" s="126"/>
      <c r="D447" s="126"/>
      <c r="E447" s="126"/>
      <c r="F447" s="116" t="s">
        <v>199</v>
      </c>
      <c r="G447" s="127"/>
      <c r="H447" s="144"/>
      <c r="I447" s="119"/>
      <c r="J447" s="278"/>
      <c r="K447" s="281"/>
      <c r="L447" s="128" t="s">
        <v>290</v>
      </c>
      <c r="M447" s="288" t="s">
        <v>211</v>
      </c>
      <c r="N447" s="288"/>
      <c r="O447" s="123" t="s">
        <v>198</v>
      </c>
      <c r="P447" s="159"/>
      <c r="Q447" s="160" t="s">
        <v>50</v>
      </c>
      <c r="R447" s="159"/>
      <c r="S447" s="123" t="s">
        <v>198</v>
      </c>
      <c r="T447" s="159"/>
      <c r="U447" s="160" t="s">
        <v>50</v>
      </c>
      <c r="V447" s="159"/>
    </row>
    <row r="448" spans="2:22" ht="50.1" hidden="1" customHeight="1" outlineLevel="6">
      <c r="B448" s="126"/>
      <c r="C448" s="126"/>
      <c r="D448" s="126"/>
      <c r="E448" s="126"/>
      <c r="F448" s="116" t="s">
        <v>199</v>
      </c>
      <c r="G448" s="127"/>
      <c r="H448" s="144"/>
      <c r="I448" s="119"/>
      <c r="J448" s="279"/>
      <c r="K448" s="282"/>
      <c r="L448" s="118" t="s">
        <v>206</v>
      </c>
      <c r="M448" s="287" t="s">
        <v>212</v>
      </c>
      <c r="N448" s="287"/>
      <c r="O448" s="123" t="s">
        <v>198</v>
      </c>
      <c r="P448" s="159"/>
      <c r="Q448" s="160" t="s">
        <v>50</v>
      </c>
      <c r="R448" s="159"/>
      <c r="S448" s="123" t="s">
        <v>198</v>
      </c>
      <c r="T448" s="159"/>
      <c r="U448" s="160" t="s">
        <v>50</v>
      </c>
      <c r="V448" s="159"/>
    </row>
    <row r="449" spans="2:22" s="147" customFormat="1" ht="50.1" hidden="1" customHeight="1" outlineLevel="4">
      <c r="B449" s="141" t="s">
        <v>552</v>
      </c>
      <c r="C449" s="141"/>
      <c r="D449" s="141"/>
      <c r="E449" s="141"/>
      <c r="F449" s="149" t="s">
        <v>214</v>
      </c>
      <c r="G449" s="143" t="s">
        <v>448</v>
      </c>
      <c r="H449" s="144" t="s">
        <v>233</v>
      </c>
      <c r="I449" s="119" t="s">
        <v>195</v>
      </c>
      <c r="J449" s="153"/>
      <c r="K449" s="143"/>
      <c r="L449" s="143"/>
      <c r="M449" s="268"/>
      <c r="N449" s="268"/>
      <c r="O449" s="123" t="s">
        <v>198</v>
      </c>
      <c r="P449" s="150"/>
      <c r="Q449" s="158" t="s">
        <v>50</v>
      </c>
      <c r="R449" s="150"/>
      <c r="S449" s="123" t="s">
        <v>198</v>
      </c>
      <c r="T449" s="150"/>
      <c r="U449" s="158" t="s">
        <v>50</v>
      </c>
      <c r="V449" s="150"/>
    </row>
    <row r="450" spans="2:22" ht="50.1" hidden="1" customHeight="1" outlineLevel="6">
      <c r="B450" s="126"/>
      <c r="C450" s="126"/>
      <c r="D450" s="126"/>
      <c r="E450" s="126"/>
      <c r="F450" s="116" t="s">
        <v>199</v>
      </c>
      <c r="G450" s="127"/>
      <c r="H450" s="144"/>
      <c r="I450" s="119"/>
      <c r="J450" s="277" t="s">
        <v>541</v>
      </c>
      <c r="K450" s="280" t="s">
        <v>553</v>
      </c>
      <c r="L450" s="118" t="s">
        <v>219</v>
      </c>
      <c r="M450" s="287" t="s">
        <v>508</v>
      </c>
      <c r="N450" s="287"/>
      <c r="O450" s="123" t="s">
        <v>198</v>
      </c>
      <c r="P450" s="159"/>
      <c r="Q450" s="160" t="s">
        <v>50</v>
      </c>
      <c r="R450" s="159"/>
      <c r="S450" s="123" t="s">
        <v>198</v>
      </c>
      <c r="T450" s="159"/>
      <c r="U450" s="160" t="s">
        <v>50</v>
      </c>
      <c r="V450" s="159"/>
    </row>
    <row r="451" spans="2:22" ht="50.1" hidden="1" customHeight="1" outlineLevel="6">
      <c r="B451" s="126"/>
      <c r="C451" s="126"/>
      <c r="D451" s="126"/>
      <c r="E451" s="126"/>
      <c r="F451" s="116" t="s">
        <v>199</v>
      </c>
      <c r="G451" s="127"/>
      <c r="H451" s="144"/>
      <c r="I451" s="119"/>
      <c r="J451" s="278"/>
      <c r="K451" s="281"/>
      <c r="L451" s="128" t="s">
        <v>290</v>
      </c>
      <c r="M451" s="288" t="s">
        <v>211</v>
      </c>
      <c r="N451" s="288"/>
      <c r="O451" s="123" t="s">
        <v>198</v>
      </c>
      <c r="P451" s="159"/>
      <c r="Q451" s="160" t="s">
        <v>50</v>
      </c>
      <c r="R451" s="159"/>
      <c r="S451" s="123" t="s">
        <v>198</v>
      </c>
      <c r="T451" s="159"/>
      <c r="U451" s="160" t="s">
        <v>50</v>
      </c>
      <c r="V451" s="159"/>
    </row>
    <row r="452" spans="2:22" ht="50.1" hidden="1" customHeight="1" outlineLevel="6">
      <c r="B452" s="126"/>
      <c r="C452" s="126"/>
      <c r="D452" s="126"/>
      <c r="E452" s="126"/>
      <c r="F452" s="116" t="s">
        <v>199</v>
      </c>
      <c r="G452" s="127"/>
      <c r="H452" s="144"/>
      <c r="I452" s="119"/>
      <c r="J452" s="279"/>
      <c r="K452" s="282"/>
      <c r="L452" s="118" t="s">
        <v>206</v>
      </c>
      <c r="M452" s="287" t="s">
        <v>212</v>
      </c>
      <c r="N452" s="287"/>
      <c r="O452" s="123" t="s">
        <v>198</v>
      </c>
      <c r="P452" s="159"/>
      <c r="Q452" s="160" t="s">
        <v>50</v>
      </c>
      <c r="R452" s="159"/>
      <c r="S452" s="123" t="s">
        <v>198</v>
      </c>
      <c r="T452" s="159"/>
      <c r="U452" s="160" t="s">
        <v>50</v>
      </c>
      <c r="V452" s="159"/>
    </row>
    <row r="453" spans="2:22" s="147" customFormat="1" ht="50.1" hidden="1" customHeight="1" outlineLevel="4">
      <c r="B453" s="141" t="s">
        <v>554</v>
      </c>
      <c r="C453" s="141"/>
      <c r="D453" s="141"/>
      <c r="E453" s="141"/>
      <c r="F453" s="142" t="s">
        <v>231</v>
      </c>
      <c r="G453" s="143" t="s">
        <v>555</v>
      </c>
      <c r="H453" s="144" t="s">
        <v>216</v>
      </c>
      <c r="I453" s="119" t="s">
        <v>195</v>
      </c>
      <c r="J453" s="153" t="s">
        <v>556</v>
      </c>
      <c r="K453" s="143"/>
      <c r="L453" s="143"/>
      <c r="M453" s="266"/>
      <c r="N453" s="267"/>
      <c r="O453" s="123" t="s">
        <v>198</v>
      </c>
      <c r="P453" s="150"/>
      <c r="Q453" s="158" t="s">
        <v>50</v>
      </c>
      <c r="R453" s="150"/>
      <c r="S453" s="123" t="s">
        <v>198</v>
      </c>
      <c r="T453" s="150"/>
      <c r="U453" s="158" t="s">
        <v>50</v>
      </c>
      <c r="V453" s="150"/>
    </row>
    <row r="454" spans="2:22" ht="50.1" hidden="1" customHeight="1" outlineLevel="6">
      <c r="B454" s="126"/>
      <c r="C454" s="126"/>
      <c r="D454" s="126"/>
      <c r="E454" s="126"/>
      <c r="F454" s="116" t="s">
        <v>199</v>
      </c>
      <c r="G454" s="127"/>
      <c r="H454" s="144"/>
      <c r="I454" s="148"/>
      <c r="J454" s="277" t="s">
        <v>393</v>
      </c>
      <c r="K454" s="280" t="s">
        <v>557</v>
      </c>
      <c r="L454" s="118" t="s">
        <v>219</v>
      </c>
      <c r="M454" s="283" t="s">
        <v>210</v>
      </c>
      <c r="N454" s="284"/>
      <c r="O454" s="123" t="s">
        <v>198</v>
      </c>
      <c r="P454" s="159"/>
      <c r="Q454" s="160" t="s">
        <v>50</v>
      </c>
      <c r="R454" s="159"/>
      <c r="S454" s="123" t="s">
        <v>198</v>
      </c>
      <c r="T454" s="159"/>
      <c r="U454" s="160" t="s">
        <v>50</v>
      </c>
      <c r="V454" s="159"/>
    </row>
    <row r="455" spans="2:22" ht="50.1" hidden="1" customHeight="1" outlineLevel="6">
      <c r="B455" s="126"/>
      <c r="C455" s="126"/>
      <c r="D455" s="126"/>
      <c r="E455" s="126"/>
      <c r="F455" s="116" t="s">
        <v>199</v>
      </c>
      <c r="G455" s="127"/>
      <c r="H455" s="144"/>
      <c r="I455" s="148"/>
      <c r="J455" s="278"/>
      <c r="K455" s="281"/>
      <c r="L455" s="128" t="s">
        <v>290</v>
      </c>
      <c r="M455" s="285" t="s">
        <v>211</v>
      </c>
      <c r="N455" s="286"/>
      <c r="O455" s="123" t="s">
        <v>198</v>
      </c>
      <c r="P455" s="159"/>
      <c r="Q455" s="160" t="s">
        <v>50</v>
      </c>
      <c r="R455" s="159"/>
      <c r="S455" s="123" t="s">
        <v>198</v>
      </c>
      <c r="T455" s="159"/>
      <c r="U455" s="160" t="s">
        <v>50</v>
      </c>
      <c r="V455" s="159"/>
    </row>
    <row r="456" spans="2:22" ht="79.5" hidden="1" customHeight="1" outlineLevel="6">
      <c r="B456" s="126"/>
      <c r="C456" s="126"/>
      <c r="D456" s="126"/>
      <c r="E456" s="126"/>
      <c r="F456" s="116" t="s">
        <v>199</v>
      </c>
      <c r="G456" s="127"/>
      <c r="H456" s="144"/>
      <c r="I456" s="148"/>
      <c r="J456" s="279"/>
      <c r="K456" s="282"/>
      <c r="L456" s="118" t="s">
        <v>206</v>
      </c>
      <c r="M456" s="283" t="s">
        <v>212</v>
      </c>
      <c r="N456" s="284"/>
      <c r="O456" s="123" t="s">
        <v>198</v>
      </c>
      <c r="P456" s="159"/>
      <c r="Q456" s="160" t="s">
        <v>50</v>
      </c>
      <c r="R456" s="159"/>
      <c r="S456" s="123" t="s">
        <v>198</v>
      </c>
      <c r="T456" s="159"/>
      <c r="U456" s="160" t="s">
        <v>50</v>
      </c>
      <c r="V456" s="159"/>
    </row>
    <row r="457" spans="2:22" s="147" customFormat="1" ht="50.1" hidden="1" customHeight="1" outlineLevel="4">
      <c r="B457" s="141" t="s">
        <v>558</v>
      </c>
      <c r="C457" s="141"/>
      <c r="D457" s="141"/>
      <c r="E457" s="141"/>
      <c r="F457" s="149" t="s">
        <v>214</v>
      </c>
      <c r="G457" s="143" t="s">
        <v>559</v>
      </c>
      <c r="H457" s="144" t="s">
        <v>233</v>
      </c>
      <c r="I457" s="119" t="s">
        <v>195</v>
      </c>
      <c r="J457" s="153"/>
      <c r="K457" s="143"/>
      <c r="L457" s="143"/>
      <c r="M457" s="266"/>
      <c r="N457" s="267"/>
      <c r="O457" s="123" t="s">
        <v>198</v>
      </c>
      <c r="P457" s="150"/>
      <c r="Q457" s="158" t="s">
        <v>50</v>
      </c>
      <c r="R457" s="150"/>
      <c r="S457" s="123" t="s">
        <v>198</v>
      </c>
      <c r="T457" s="150"/>
      <c r="U457" s="158" t="s">
        <v>50</v>
      </c>
      <c r="V457" s="150"/>
    </row>
    <row r="458" spans="2:22" ht="50.1" hidden="1" customHeight="1" outlineLevel="6">
      <c r="B458" s="126"/>
      <c r="C458" s="126"/>
      <c r="D458" s="126"/>
      <c r="E458" s="126"/>
      <c r="F458" s="116" t="s">
        <v>199</v>
      </c>
      <c r="G458" s="127"/>
      <c r="H458" s="144"/>
      <c r="I458" s="119"/>
      <c r="J458" s="277" t="s">
        <v>560</v>
      </c>
      <c r="K458" s="280" t="s">
        <v>534</v>
      </c>
      <c r="L458" s="118" t="s">
        <v>219</v>
      </c>
      <c r="M458" s="283" t="s">
        <v>240</v>
      </c>
      <c r="N458" s="284"/>
      <c r="O458" s="123" t="s">
        <v>198</v>
      </c>
      <c r="P458" s="159"/>
      <c r="Q458" s="160" t="s">
        <v>50</v>
      </c>
      <c r="R458" s="159"/>
      <c r="S458" s="123" t="s">
        <v>198</v>
      </c>
      <c r="T458" s="159"/>
      <c r="U458" s="160" t="s">
        <v>50</v>
      </c>
      <c r="V458" s="159"/>
    </row>
    <row r="459" spans="2:22" ht="50.1" hidden="1" customHeight="1" outlineLevel="6">
      <c r="B459" s="126"/>
      <c r="C459" s="126"/>
      <c r="D459" s="126"/>
      <c r="E459" s="126"/>
      <c r="F459" s="116" t="s">
        <v>199</v>
      </c>
      <c r="G459" s="127"/>
      <c r="H459" s="144"/>
      <c r="I459" s="119"/>
      <c r="J459" s="278"/>
      <c r="K459" s="281"/>
      <c r="L459" s="128" t="s">
        <v>290</v>
      </c>
      <c r="M459" s="285" t="s">
        <v>211</v>
      </c>
      <c r="N459" s="286"/>
      <c r="O459" s="123" t="s">
        <v>198</v>
      </c>
      <c r="P459" s="159"/>
      <c r="Q459" s="160" t="s">
        <v>50</v>
      </c>
      <c r="R459" s="159"/>
      <c r="S459" s="123" t="s">
        <v>198</v>
      </c>
      <c r="T459" s="159"/>
      <c r="U459" s="160" t="s">
        <v>50</v>
      </c>
      <c r="V459" s="159"/>
    </row>
    <row r="460" spans="2:22" ht="50.1" hidden="1" customHeight="1" outlineLevel="6">
      <c r="B460" s="126"/>
      <c r="C460" s="126"/>
      <c r="D460" s="126"/>
      <c r="E460" s="126"/>
      <c r="F460" s="116" t="s">
        <v>199</v>
      </c>
      <c r="G460" s="127"/>
      <c r="H460" s="144"/>
      <c r="I460" s="119"/>
      <c r="J460" s="279"/>
      <c r="K460" s="282"/>
      <c r="L460" s="118" t="s">
        <v>206</v>
      </c>
      <c r="M460" s="283" t="s">
        <v>207</v>
      </c>
      <c r="N460" s="284"/>
      <c r="O460" s="123" t="s">
        <v>198</v>
      </c>
      <c r="P460" s="159"/>
      <c r="Q460" s="160" t="s">
        <v>50</v>
      </c>
      <c r="R460" s="159"/>
      <c r="S460" s="123" t="s">
        <v>198</v>
      </c>
      <c r="T460" s="159"/>
      <c r="U460" s="160" t="s">
        <v>50</v>
      </c>
      <c r="V460" s="159"/>
    </row>
    <row r="461" spans="2:22" s="147" customFormat="1" ht="50.1" hidden="1" customHeight="1" outlineLevel="4">
      <c r="B461" s="141" t="s">
        <v>561</v>
      </c>
      <c r="C461" s="141"/>
      <c r="D461" s="141"/>
      <c r="E461" s="141"/>
      <c r="F461" s="149" t="s">
        <v>214</v>
      </c>
      <c r="G461" s="143" t="s">
        <v>420</v>
      </c>
      <c r="H461" s="144" t="s">
        <v>233</v>
      </c>
      <c r="I461" s="119" t="s">
        <v>195</v>
      </c>
      <c r="J461" s="153"/>
      <c r="K461" s="143"/>
      <c r="L461" s="143"/>
      <c r="M461" s="266"/>
      <c r="N461" s="267"/>
      <c r="O461" s="123" t="s">
        <v>198</v>
      </c>
      <c r="P461" s="150"/>
      <c r="Q461" s="158" t="s">
        <v>50</v>
      </c>
      <c r="R461" s="150"/>
      <c r="S461" s="123" t="s">
        <v>198</v>
      </c>
      <c r="T461" s="150"/>
      <c r="U461" s="158" t="s">
        <v>50</v>
      </c>
      <c r="V461" s="150"/>
    </row>
    <row r="462" spans="2:22" ht="50.1" hidden="1" customHeight="1" outlineLevel="6">
      <c r="B462" s="126"/>
      <c r="C462" s="126"/>
      <c r="D462" s="126"/>
      <c r="E462" s="126"/>
      <c r="F462" s="116" t="s">
        <v>199</v>
      </c>
      <c r="G462" s="127"/>
      <c r="H462" s="144"/>
      <c r="I462" s="119"/>
      <c r="J462" s="277" t="s">
        <v>560</v>
      </c>
      <c r="K462" s="280" t="s">
        <v>562</v>
      </c>
      <c r="L462" s="118" t="s">
        <v>219</v>
      </c>
      <c r="M462" s="283" t="s">
        <v>508</v>
      </c>
      <c r="N462" s="284"/>
      <c r="O462" s="123" t="s">
        <v>198</v>
      </c>
      <c r="P462" s="159"/>
      <c r="Q462" s="160" t="s">
        <v>50</v>
      </c>
      <c r="R462" s="159"/>
      <c r="S462" s="123" t="s">
        <v>198</v>
      </c>
      <c r="T462" s="159"/>
      <c r="U462" s="160" t="s">
        <v>50</v>
      </c>
      <c r="V462" s="159"/>
    </row>
    <row r="463" spans="2:22" ht="50.1" hidden="1" customHeight="1" outlineLevel="6">
      <c r="B463" s="126"/>
      <c r="C463" s="126"/>
      <c r="D463" s="126"/>
      <c r="E463" s="126"/>
      <c r="F463" s="116" t="s">
        <v>199</v>
      </c>
      <c r="G463" s="127"/>
      <c r="H463" s="144"/>
      <c r="I463" s="119"/>
      <c r="J463" s="278"/>
      <c r="K463" s="281"/>
      <c r="L463" s="128" t="s">
        <v>290</v>
      </c>
      <c r="M463" s="285" t="s">
        <v>211</v>
      </c>
      <c r="N463" s="286"/>
      <c r="O463" s="123" t="s">
        <v>198</v>
      </c>
      <c r="P463" s="159"/>
      <c r="Q463" s="160" t="s">
        <v>50</v>
      </c>
      <c r="R463" s="159"/>
      <c r="S463" s="123" t="s">
        <v>198</v>
      </c>
      <c r="T463" s="159"/>
      <c r="U463" s="160" t="s">
        <v>50</v>
      </c>
      <c r="V463" s="159"/>
    </row>
    <row r="464" spans="2:22" ht="50.1" hidden="1" customHeight="1" outlineLevel="6">
      <c r="B464" s="126"/>
      <c r="C464" s="126"/>
      <c r="D464" s="126"/>
      <c r="E464" s="126"/>
      <c r="F464" s="116" t="s">
        <v>199</v>
      </c>
      <c r="G464" s="127"/>
      <c r="H464" s="144"/>
      <c r="I464" s="119"/>
      <c r="J464" s="279"/>
      <c r="K464" s="282"/>
      <c r="L464" s="118" t="s">
        <v>206</v>
      </c>
      <c r="M464" s="283" t="s">
        <v>212</v>
      </c>
      <c r="N464" s="284"/>
      <c r="O464" s="123" t="s">
        <v>198</v>
      </c>
      <c r="P464" s="159"/>
      <c r="Q464" s="160" t="s">
        <v>50</v>
      </c>
      <c r="R464" s="159"/>
      <c r="S464" s="123" t="s">
        <v>198</v>
      </c>
      <c r="T464" s="159"/>
      <c r="U464" s="160" t="s">
        <v>50</v>
      </c>
      <c r="V464" s="159"/>
    </row>
    <row r="465" spans="2:22" s="147" customFormat="1" ht="50.1" hidden="1" customHeight="1" outlineLevel="4">
      <c r="B465" s="141" t="s">
        <v>563</v>
      </c>
      <c r="C465" s="141"/>
      <c r="D465" s="141"/>
      <c r="E465" s="141"/>
      <c r="F465" s="149" t="s">
        <v>214</v>
      </c>
      <c r="G465" s="143" t="s">
        <v>564</v>
      </c>
      <c r="H465" s="144" t="s">
        <v>233</v>
      </c>
      <c r="I465" s="119" t="s">
        <v>195</v>
      </c>
      <c r="J465" s="153"/>
      <c r="K465" s="143"/>
      <c r="L465" s="143"/>
      <c r="M465" s="266"/>
      <c r="N465" s="267"/>
      <c r="O465" s="123" t="s">
        <v>198</v>
      </c>
      <c r="P465" s="150"/>
      <c r="Q465" s="158" t="s">
        <v>50</v>
      </c>
      <c r="R465" s="150"/>
      <c r="S465" s="123" t="s">
        <v>198</v>
      </c>
      <c r="T465" s="150"/>
      <c r="U465" s="158" t="s">
        <v>50</v>
      </c>
      <c r="V465" s="150"/>
    </row>
    <row r="466" spans="2:22" ht="50.1" hidden="1" customHeight="1" outlineLevel="6">
      <c r="B466" s="126"/>
      <c r="C466" s="126"/>
      <c r="D466" s="126"/>
      <c r="E466" s="126"/>
      <c r="F466" s="116" t="s">
        <v>199</v>
      </c>
      <c r="G466" s="127"/>
      <c r="H466" s="144"/>
      <c r="I466" s="148"/>
      <c r="J466" s="277" t="s">
        <v>560</v>
      </c>
      <c r="K466" s="280" t="s">
        <v>565</v>
      </c>
      <c r="L466" s="118" t="s">
        <v>219</v>
      </c>
      <c r="M466" s="283" t="s">
        <v>508</v>
      </c>
      <c r="N466" s="284"/>
      <c r="O466" s="123" t="s">
        <v>198</v>
      </c>
      <c r="P466" s="159"/>
      <c r="Q466" s="160" t="s">
        <v>50</v>
      </c>
      <c r="R466" s="159"/>
      <c r="S466" s="123" t="s">
        <v>198</v>
      </c>
      <c r="T466" s="159"/>
      <c r="U466" s="160" t="s">
        <v>50</v>
      </c>
      <c r="V466" s="159"/>
    </row>
    <row r="467" spans="2:22" ht="50.1" hidden="1" customHeight="1" outlineLevel="6">
      <c r="B467" s="126"/>
      <c r="C467" s="126"/>
      <c r="D467" s="126"/>
      <c r="E467" s="126"/>
      <c r="F467" s="116" t="s">
        <v>199</v>
      </c>
      <c r="G467" s="127"/>
      <c r="H467" s="144"/>
      <c r="I467" s="148"/>
      <c r="J467" s="278"/>
      <c r="K467" s="281"/>
      <c r="L467" s="128" t="s">
        <v>290</v>
      </c>
      <c r="M467" s="285" t="s">
        <v>211</v>
      </c>
      <c r="N467" s="286"/>
      <c r="O467" s="123" t="s">
        <v>198</v>
      </c>
      <c r="P467" s="159"/>
      <c r="Q467" s="160" t="s">
        <v>50</v>
      </c>
      <c r="R467" s="159"/>
      <c r="S467" s="123" t="s">
        <v>198</v>
      </c>
      <c r="T467" s="159"/>
      <c r="U467" s="160" t="s">
        <v>50</v>
      </c>
      <c r="V467" s="159"/>
    </row>
    <row r="468" spans="2:22" ht="50.1" hidden="1" customHeight="1" outlineLevel="6">
      <c r="B468" s="126"/>
      <c r="C468" s="126"/>
      <c r="D468" s="126"/>
      <c r="E468" s="126"/>
      <c r="F468" s="116" t="s">
        <v>199</v>
      </c>
      <c r="G468" s="127"/>
      <c r="H468" s="144"/>
      <c r="I468" s="148"/>
      <c r="J468" s="279"/>
      <c r="K468" s="282"/>
      <c r="L468" s="118" t="s">
        <v>206</v>
      </c>
      <c r="M468" s="283" t="s">
        <v>212</v>
      </c>
      <c r="N468" s="284"/>
      <c r="O468" s="123" t="s">
        <v>198</v>
      </c>
      <c r="P468" s="159"/>
      <c r="Q468" s="160" t="s">
        <v>50</v>
      </c>
      <c r="R468" s="159"/>
      <c r="S468" s="123" t="s">
        <v>198</v>
      </c>
      <c r="T468" s="159"/>
      <c r="U468" s="160" t="s">
        <v>50</v>
      </c>
      <c r="V468" s="159"/>
    </row>
    <row r="469" spans="2:22" s="147" customFormat="1" ht="50.1" hidden="1" customHeight="1" outlineLevel="4">
      <c r="B469" s="141" t="s">
        <v>566</v>
      </c>
      <c r="C469" s="141"/>
      <c r="D469" s="141"/>
      <c r="E469" s="141"/>
      <c r="F469" s="149" t="s">
        <v>214</v>
      </c>
      <c r="G469" s="143" t="s">
        <v>429</v>
      </c>
      <c r="H469" s="144" t="s">
        <v>233</v>
      </c>
      <c r="I469" s="119" t="s">
        <v>195</v>
      </c>
      <c r="J469" s="153"/>
      <c r="K469" s="143"/>
      <c r="L469" s="143"/>
      <c r="M469" s="266"/>
      <c r="N469" s="267"/>
      <c r="O469" s="123" t="s">
        <v>198</v>
      </c>
      <c r="P469" s="150"/>
      <c r="Q469" s="158" t="s">
        <v>50</v>
      </c>
      <c r="R469" s="150"/>
      <c r="S469" s="123" t="s">
        <v>198</v>
      </c>
      <c r="T469" s="150"/>
      <c r="U469" s="158" t="s">
        <v>50</v>
      </c>
      <c r="V469" s="150"/>
    </row>
    <row r="470" spans="2:22" ht="50.1" hidden="1" customHeight="1" outlineLevel="6">
      <c r="B470" s="126"/>
      <c r="C470" s="126"/>
      <c r="D470" s="126"/>
      <c r="E470" s="126"/>
      <c r="F470" s="116" t="s">
        <v>199</v>
      </c>
      <c r="G470" s="127"/>
      <c r="H470" s="144"/>
      <c r="I470" s="119"/>
      <c r="J470" s="277" t="s">
        <v>560</v>
      </c>
      <c r="K470" s="280" t="s">
        <v>409</v>
      </c>
      <c r="L470" s="118" t="s">
        <v>219</v>
      </c>
      <c r="M470" s="283" t="s">
        <v>508</v>
      </c>
      <c r="N470" s="284"/>
      <c r="O470" s="123" t="s">
        <v>198</v>
      </c>
      <c r="P470" s="159"/>
      <c r="Q470" s="160" t="s">
        <v>50</v>
      </c>
      <c r="R470" s="159"/>
      <c r="S470" s="123" t="s">
        <v>198</v>
      </c>
      <c r="T470" s="159"/>
      <c r="U470" s="160" t="s">
        <v>50</v>
      </c>
      <c r="V470" s="159"/>
    </row>
    <row r="471" spans="2:22" ht="50.1" hidden="1" customHeight="1" outlineLevel="6">
      <c r="B471" s="126"/>
      <c r="C471" s="126"/>
      <c r="D471" s="126"/>
      <c r="E471" s="126"/>
      <c r="F471" s="116" t="s">
        <v>199</v>
      </c>
      <c r="G471" s="127"/>
      <c r="H471" s="144"/>
      <c r="I471" s="119"/>
      <c r="J471" s="278"/>
      <c r="K471" s="281"/>
      <c r="L471" s="128" t="s">
        <v>290</v>
      </c>
      <c r="M471" s="285" t="s">
        <v>211</v>
      </c>
      <c r="N471" s="286"/>
      <c r="O471" s="123" t="s">
        <v>198</v>
      </c>
      <c r="P471" s="159"/>
      <c r="Q471" s="160" t="s">
        <v>50</v>
      </c>
      <c r="R471" s="159"/>
      <c r="S471" s="123" t="s">
        <v>198</v>
      </c>
      <c r="T471" s="159"/>
      <c r="U471" s="160" t="s">
        <v>50</v>
      </c>
      <c r="V471" s="159"/>
    </row>
    <row r="472" spans="2:22" ht="50.1" hidden="1" customHeight="1" outlineLevel="6">
      <c r="B472" s="126"/>
      <c r="C472" s="126"/>
      <c r="D472" s="126"/>
      <c r="E472" s="126"/>
      <c r="F472" s="116" t="s">
        <v>199</v>
      </c>
      <c r="G472" s="127"/>
      <c r="H472" s="144"/>
      <c r="I472" s="119"/>
      <c r="J472" s="279"/>
      <c r="K472" s="282"/>
      <c r="L472" s="118" t="s">
        <v>206</v>
      </c>
      <c r="M472" s="283" t="s">
        <v>212</v>
      </c>
      <c r="N472" s="284"/>
      <c r="O472" s="123" t="s">
        <v>198</v>
      </c>
      <c r="P472" s="159"/>
      <c r="Q472" s="160" t="s">
        <v>50</v>
      </c>
      <c r="R472" s="159"/>
      <c r="S472" s="123" t="s">
        <v>198</v>
      </c>
      <c r="T472" s="159"/>
      <c r="U472" s="160" t="s">
        <v>50</v>
      </c>
      <c r="V472" s="159"/>
    </row>
    <row r="473" spans="2:22" s="147" customFormat="1" ht="50.1" hidden="1" customHeight="1" outlineLevel="4">
      <c r="B473" s="141" t="s">
        <v>567</v>
      </c>
      <c r="C473" s="141"/>
      <c r="D473" s="141"/>
      <c r="E473" s="141"/>
      <c r="F473" s="149" t="s">
        <v>214</v>
      </c>
      <c r="G473" s="143" t="s">
        <v>431</v>
      </c>
      <c r="H473" s="144" t="s">
        <v>233</v>
      </c>
      <c r="I473" s="119" t="s">
        <v>195</v>
      </c>
      <c r="J473" s="153"/>
      <c r="K473" s="143"/>
      <c r="L473" s="143"/>
      <c r="M473" s="266"/>
      <c r="N473" s="267"/>
      <c r="O473" s="123" t="s">
        <v>198</v>
      </c>
      <c r="P473" s="150"/>
      <c r="Q473" s="158" t="s">
        <v>50</v>
      </c>
      <c r="R473" s="150"/>
      <c r="S473" s="123" t="s">
        <v>198</v>
      </c>
      <c r="T473" s="150"/>
      <c r="U473" s="158" t="s">
        <v>50</v>
      </c>
      <c r="V473" s="150"/>
    </row>
    <row r="474" spans="2:22" ht="50.1" hidden="1" customHeight="1" outlineLevel="6">
      <c r="B474" s="126"/>
      <c r="C474" s="126"/>
      <c r="D474" s="126"/>
      <c r="E474" s="126"/>
      <c r="F474" s="116" t="s">
        <v>199</v>
      </c>
      <c r="G474" s="127"/>
      <c r="H474" s="144"/>
      <c r="I474" s="119"/>
      <c r="J474" s="277" t="s">
        <v>560</v>
      </c>
      <c r="K474" s="280" t="s">
        <v>568</v>
      </c>
      <c r="L474" s="118" t="s">
        <v>219</v>
      </c>
      <c r="M474" s="283" t="s">
        <v>508</v>
      </c>
      <c r="N474" s="284"/>
      <c r="O474" s="123" t="s">
        <v>198</v>
      </c>
      <c r="P474" s="159"/>
      <c r="Q474" s="160" t="s">
        <v>50</v>
      </c>
      <c r="R474" s="159"/>
      <c r="S474" s="123" t="s">
        <v>198</v>
      </c>
      <c r="T474" s="159"/>
      <c r="U474" s="160" t="s">
        <v>50</v>
      </c>
      <c r="V474" s="159"/>
    </row>
    <row r="475" spans="2:22" ht="50.1" hidden="1" customHeight="1" outlineLevel="6">
      <c r="B475" s="126"/>
      <c r="C475" s="126"/>
      <c r="D475" s="126"/>
      <c r="E475" s="126"/>
      <c r="F475" s="116" t="s">
        <v>199</v>
      </c>
      <c r="G475" s="127"/>
      <c r="H475" s="144"/>
      <c r="I475" s="119"/>
      <c r="J475" s="278"/>
      <c r="K475" s="281"/>
      <c r="L475" s="128" t="s">
        <v>290</v>
      </c>
      <c r="M475" s="285" t="s">
        <v>211</v>
      </c>
      <c r="N475" s="286"/>
      <c r="O475" s="123" t="s">
        <v>198</v>
      </c>
      <c r="P475" s="159"/>
      <c r="Q475" s="160" t="s">
        <v>50</v>
      </c>
      <c r="R475" s="159"/>
      <c r="S475" s="123" t="s">
        <v>198</v>
      </c>
      <c r="T475" s="159"/>
      <c r="U475" s="160" t="s">
        <v>50</v>
      </c>
      <c r="V475" s="159"/>
    </row>
    <row r="476" spans="2:22" ht="50.1" hidden="1" customHeight="1" outlineLevel="6">
      <c r="B476" s="126"/>
      <c r="C476" s="126"/>
      <c r="D476" s="126"/>
      <c r="E476" s="126"/>
      <c r="F476" s="116" t="s">
        <v>199</v>
      </c>
      <c r="G476" s="127"/>
      <c r="H476" s="144"/>
      <c r="I476" s="119"/>
      <c r="J476" s="279"/>
      <c r="K476" s="282"/>
      <c r="L476" s="118" t="s">
        <v>206</v>
      </c>
      <c r="M476" s="283" t="s">
        <v>410</v>
      </c>
      <c r="N476" s="284"/>
      <c r="O476" s="123" t="s">
        <v>198</v>
      </c>
      <c r="P476" s="159"/>
      <c r="Q476" s="160" t="s">
        <v>50</v>
      </c>
      <c r="R476" s="159"/>
      <c r="S476" s="123" t="s">
        <v>198</v>
      </c>
      <c r="T476" s="159"/>
      <c r="U476" s="160" t="s">
        <v>50</v>
      </c>
      <c r="V476" s="159"/>
    </row>
    <row r="477" spans="2:22" s="147" customFormat="1" ht="50.1" hidden="1" customHeight="1" outlineLevel="4">
      <c r="B477" s="141" t="s">
        <v>569</v>
      </c>
      <c r="C477" s="141"/>
      <c r="D477" s="141"/>
      <c r="E477" s="141"/>
      <c r="F477" s="149" t="s">
        <v>214</v>
      </c>
      <c r="G477" s="143" t="s">
        <v>570</v>
      </c>
      <c r="H477" s="144" t="s">
        <v>233</v>
      </c>
      <c r="I477" s="119" t="s">
        <v>195</v>
      </c>
      <c r="J477" s="153"/>
      <c r="K477" s="143"/>
      <c r="L477" s="143"/>
      <c r="M477" s="266"/>
      <c r="N477" s="267"/>
      <c r="O477" s="123" t="s">
        <v>198</v>
      </c>
      <c r="P477" s="150"/>
      <c r="Q477" s="158" t="s">
        <v>50</v>
      </c>
      <c r="R477" s="150"/>
      <c r="S477" s="123" t="s">
        <v>198</v>
      </c>
      <c r="T477" s="150"/>
      <c r="U477" s="158" t="s">
        <v>50</v>
      </c>
      <c r="V477" s="150"/>
    </row>
    <row r="478" spans="2:22" ht="50.1" hidden="1" customHeight="1" outlineLevel="6">
      <c r="B478" s="126"/>
      <c r="C478" s="126"/>
      <c r="D478" s="126"/>
      <c r="E478" s="126"/>
      <c r="F478" s="116" t="s">
        <v>199</v>
      </c>
      <c r="G478" s="127"/>
      <c r="H478" s="144"/>
      <c r="I478" s="148"/>
      <c r="J478" s="277" t="s">
        <v>560</v>
      </c>
      <c r="K478" s="280" t="s">
        <v>571</v>
      </c>
      <c r="L478" s="118" t="s">
        <v>219</v>
      </c>
      <c r="M478" s="283" t="s">
        <v>508</v>
      </c>
      <c r="N478" s="284"/>
      <c r="O478" s="123" t="s">
        <v>198</v>
      </c>
      <c r="P478" s="159"/>
      <c r="Q478" s="160" t="s">
        <v>50</v>
      </c>
      <c r="R478" s="159"/>
      <c r="S478" s="123" t="s">
        <v>198</v>
      </c>
      <c r="T478" s="159"/>
      <c r="U478" s="160" t="s">
        <v>50</v>
      </c>
      <c r="V478" s="159"/>
    </row>
    <row r="479" spans="2:22" ht="50.1" hidden="1" customHeight="1" outlineLevel="6">
      <c r="B479" s="126"/>
      <c r="C479" s="126"/>
      <c r="D479" s="126"/>
      <c r="E479" s="126"/>
      <c r="F479" s="116" t="s">
        <v>199</v>
      </c>
      <c r="G479" s="127"/>
      <c r="H479" s="144"/>
      <c r="I479" s="148"/>
      <c r="J479" s="278"/>
      <c r="K479" s="281"/>
      <c r="L479" s="128" t="s">
        <v>290</v>
      </c>
      <c r="M479" s="285" t="s">
        <v>211</v>
      </c>
      <c r="N479" s="286"/>
      <c r="O479" s="123" t="s">
        <v>198</v>
      </c>
      <c r="P479" s="159"/>
      <c r="Q479" s="160" t="s">
        <v>50</v>
      </c>
      <c r="R479" s="159"/>
      <c r="S479" s="123" t="s">
        <v>198</v>
      </c>
      <c r="T479" s="159"/>
      <c r="U479" s="160" t="s">
        <v>50</v>
      </c>
      <c r="V479" s="159"/>
    </row>
    <row r="480" spans="2:22" ht="50.1" hidden="1" customHeight="1" outlineLevel="6">
      <c r="B480" s="126"/>
      <c r="C480" s="126"/>
      <c r="D480" s="126"/>
      <c r="E480" s="126"/>
      <c r="F480" s="116" t="s">
        <v>199</v>
      </c>
      <c r="G480" s="127"/>
      <c r="H480" s="144"/>
      <c r="I480" s="148"/>
      <c r="J480" s="279"/>
      <c r="K480" s="282"/>
      <c r="L480" s="118" t="s">
        <v>206</v>
      </c>
      <c r="M480" s="283" t="s">
        <v>212</v>
      </c>
      <c r="N480" s="284"/>
      <c r="O480" s="123" t="s">
        <v>198</v>
      </c>
      <c r="P480" s="159"/>
      <c r="Q480" s="160" t="s">
        <v>50</v>
      </c>
      <c r="R480" s="159"/>
      <c r="S480" s="123" t="s">
        <v>198</v>
      </c>
      <c r="T480" s="159"/>
      <c r="U480" s="160" t="s">
        <v>50</v>
      </c>
      <c r="V480" s="159"/>
    </row>
    <row r="481" spans="2:22" ht="24" customHeight="1" outlineLevel="1" collapsed="1">
      <c r="B481" s="275" t="s">
        <v>572</v>
      </c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6"/>
      <c r="O481" s="115"/>
      <c r="P481" s="115"/>
      <c r="Q481" s="115"/>
      <c r="R481" s="115"/>
      <c r="S481" s="115"/>
      <c r="T481" s="115"/>
      <c r="U481" s="115"/>
      <c r="V481" s="115"/>
    </row>
    <row r="482" spans="2:22" s="182" customFormat="1" ht="47.25" hidden="1" customHeight="1" outlineLevel="4">
      <c r="B482" s="175" t="s">
        <v>390</v>
      </c>
      <c r="C482" s="175"/>
      <c r="D482" s="175"/>
      <c r="E482" s="175"/>
      <c r="F482" s="176" t="s">
        <v>231</v>
      </c>
      <c r="G482" s="177" t="s">
        <v>573</v>
      </c>
      <c r="H482" s="178" t="s">
        <v>283</v>
      </c>
      <c r="I482" s="119" t="s">
        <v>195</v>
      </c>
      <c r="J482" s="179"/>
      <c r="K482" s="177"/>
      <c r="L482" s="177"/>
      <c r="M482" s="265"/>
      <c r="N482" s="265"/>
      <c r="O482" s="123" t="s">
        <v>198</v>
      </c>
      <c r="P482" s="180"/>
      <c r="Q482" s="181" t="s">
        <v>50</v>
      </c>
      <c r="R482" s="180"/>
      <c r="S482" s="123" t="s">
        <v>198</v>
      </c>
      <c r="T482" s="180"/>
      <c r="U482" s="181" t="s">
        <v>50</v>
      </c>
      <c r="V482" s="180"/>
    </row>
    <row r="483" spans="2:22" s="187" customFormat="1" ht="69" hidden="1" customHeight="1" outlineLevel="5">
      <c r="B483" s="183"/>
      <c r="C483" s="183"/>
      <c r="D483" s="183"/>
      <c r="E483" s="183"/>
      <c r="F483" s="184" t="s">
        <v>199</v>
      </c>
      <c r="G483" s="127"/>
      <c r="H483" s="178"/>
      <c r="I483" s="119"/>
      <c r="J483" s="269" t="s">
        <v>365</v>
      </c>
      <c r="K483" s="269" t="s">
        <v>574</v>
      </c>
      <c r="L483" s="118" t="s">
        <v>219</v>
      </c>
      <c r="M483" s="273" t="s">
        <v>210</v>
      </c>
      <c r="N483" s="273"/>
      <c r="O483" s="123" t="s">
        <v>198</v>
      </c>
      <c r="P483" s="185"/>
      <c r="Q483" s="186" t="s">
        <v>50</v>
      </c>
      <c r="R483" s="185"/>
      <c r="S483" s="123" t="s">
        <v>198</v>
      </c>
      <c r="T483" s="185"/>
      <c r="U483" s="186" t="s">
        <v>50</v>
      </c>
      <c r="V483" s="185"/>
    </row>
    <row r="484" spans="2:22" s="187" customFormat="1" ht="57.75" hidden="1" customHeight="1" outlineLevel="5">
      <c r="B484" s="183"/>
      <c r="C484" s="183"/>
      <c r="D484" s="183"/>
      <c r="E484" s="183"/>
      <c r="F484" s="184" t="s">
        <v>199</v>
      </c>
      <c r="G484" s="127"/>
      <c r="H484" s="178"/>
      <c r="I484" s="119"/>
      <c r="J484" s="270"/>
      <c r="K484" s="270"/>
      <c r="L484" s="188" t="s">
        <v>290</v>
      </c>
      <c r="M484" s="274" t="s">
        <v>575</v>
      </c>
      <c r="N484" s="274"/>
      <c r="O484" s="123" t="s">
        <v>198</v>
      </c>
      <c r="P484" s="185"/>
      <c r="Q484" s="186" t="s">
        <v>50</v>
      </c>
      <c r="R484" s="185"/>
      <c r="S484" s="123" t="s">
        <v>198</v>
      </c>
      <c r="T484" s="185"/>
      <c r="U484" s="186" t="s">
        <v>50</v>
      </c>
      <c r="V484" s="185"/>
    </row>
    <row r="485" spans="2:22" s="187" customFormat="1" ht="57.75" hidden="1" customHeight="1" outlineLevel="5">
      <c r="B485" s="183"/>
      <c r="C485" s="183"/>
      <c r="D485" s="183"/>
      <c r="E485" s="183"/>
      <c r="F485" s="184" t="s">
        <v>199</v>
      </c>
      <c r="G485" s="127"/>
      <c r="H485" s="178"/>
      <c r="I485" s="119"/>
      <c r="J485" s="270"/>
      <c r="K485" s="270"/>
      <c r="L485" s="118" t="s">
        <v>206</v>
      </c>
      <c r="M485" s="273" t="s">
        <v>576</v>
      </c>
      <c r="N485" s="273"/>
      <c r="O485" s="123" t="s">
        <v>198</v>
      </c>
      <c r="P485" s="185"/>
      <c r="Q485" s="186" t="s">
        <v>50</v>
      </c>
      <c r="R485" s="185"/>
      <c r="S485" s="123" t="s">
        <v>198</v>
      </c>
      <c r="T485" s="185"/>
      <c r="U485" s="186" t="s">
        <v>50</v>
      </c>
      <c r="V485" s="185"/>
    </row>
    <row r="486" spans="2:22" s="187" customFormat="1" ht="57.75" hidden="1" customHeight="1" outlineLevel="5">
      <c r="B486" s="183"/>
      <c r="C486" s="183"/>
      <c r="D486" s="183"/>
      <c r="E486" s="183"/>
      <c r="F486" s="184" t="s">
        <v>199</v>
      </c>
      <c r="G486" s="127"/>
      <c r="H486" s="178"/>
      <c r="I486" s="119"/>
      <c r="J486" s="271"/>
      <c r="K486" s="272"/>
      <c r="L486" s="118" t="s">
        <v>577</v>
      </c>
      <c r="M486" s="273" t="s">
        <v>578</v>
      </c>
      <c r="N486" s="273"/>
      <c r="O486" s="123" t="s">
        <v>198</v>
      </c>
      <c r="P486" s="185"/>
      <c r="Q486" s="186" t="s">
        <v>50</v>
      </c>
      <c r="R486" s="185"/>
      <c r="S486" s="123" t="s">
        <v>198</v>
      </c>
      <c r="T486" s="185"/>
      <c r="U486" s="186" t="s">
        <v>50</v>
      </c>
      <c r="V486" s="185"/>
    </row>
    <row r="487" spans="2:22" s="187" customFormat="1" ht="69" hidden="1" customHeight="1" outlineLevel="5">
      <c r="B487" s="183"/>
      <c r="C487" s="183"/>
      <c r="D487" s="183"/>
      <c r="E487" s="183"/>
      <c r="F487" s="184" t="s">
        <v>199</v>
      </c>
      <c r="G487" s="127"/>
      <c r="H487" s="178"/>
      <c r="I487" s="119"/>
      <c r="J487" s="271"/>
      <c r="K487" s="269" t="s">
        <v>579</v>
      </c>
      <c r="L487" s="118" t="s">
        <v>219</v>
      </c>
      <c r="M487" s="273" t="s">
        <v>210</v>
      </c>
      <c r="N487" s="273"/>
      <c r="O487" s="123" t="s">
        <v>198</v>
      </c>
      <c r="P487" s="185"/>
      <c r="Q487" s="186" t="s">
        <v>50</v>
      </c>
      <c r="R487" s="185"/>
      <c r="S487" s="123" t="s">
        <v>198</v>
      </c>
      <c r="T487" s="185"/>
      <c r="U487" s="186" t="s">
        <v>50</v>
      </c>
      <c r="V487" s="185"/>
    </row>
    <row r="488" spans="2:22" s="187" customFormat="1" ht="57.75" hidden="1" customHeight="1" outlineLevel="5">
      <c r="B488" s="183"/>
      <c r="C488" s="183"/>
      <c r="D488" s="183"/>
      <c r="E488" s="183"/>
      <c r="F488" s="184" t="s">
        <v>199</v>
      </c>
      <c r="G488" s="127"/>
      <c r="H488" s="178"/>
      <c r="I488" s="119"/>
      <c r="J488" s="271"/>
      <c r="K488" s="270"/>
      <c r="L488" s="188" t="s">
        <v>290</v>
      </c>
      <c r="M488" s="274" t="s">
        <v>211</v>
      </c>
      <c r="N488" s="274"/>
      <c r="O488" s="123" t="s">
        <v>198</v>
      </c>
      <c r="P488" s="185"/>
      <c r="Q488" s="186" t="s">
        <v>50</v>
      </c>
      <c r="R488" s="185"/>
      <c r="S488" s="123" t="s">
        <v>198</v>
      </c>
      <c r="T488" s="185"/>
      <c r="U488" s="186" t="s">
        <v>50</v>
      </c>
      <c r="V488" s="185"/>
    </row>
    <row r="489" spans="2:22" s="187" customFormat="1" ht="57.75" hidden="1" customHeight="1" outlineLevel="5">
      <c r="B489" s="183"/>
      <c r="C489" s="183"/>
      <c r="D489" s="183"/>
      <c r="E489" s="183"/>
      <c r="F489" s="184" t="s">
        <v>199</v>
      </c>
      <c r="G489" s="127"/>
      <c r="H489" s="178"/>
      <c r="I489" s="119"/>
      <c r="J489" s="271"/>
      <c r="K489" s="270"/>
      <c r="L489" s="118" t="s">
        <v>206</v>
      </c>
      <c r="M489" s="273" t="s">
        <v>207</v>
      </c>
      <c r="N489" s="273"/>
      <c r="O489" s="123" t="s">
        <v>198</v>
      </c>
      <c r="P489" s="185"/>
      <c r="Q489" s="186" t="s">
        <v>50</v>
      </c>
      <c r="R489" s="185"/>
      <c r="S489" s="123" t="s">
        <v>198</v>
      </c>
      <c r="T489" s="185"/>
      <c r="U489" s="186" t="s">
        <v>50</v>
      </c>
      <c r="V489" s="185"/>
    </row>
    <row r="490" spans="2:22" s="187" customFormat="1" ht="57.75" hidden="1" customHeight="1" outlineLevel="5">
      <c r="B490" s="183"/>
      <c r="C490" s="183"/>
      <c r="D490" s="183"/>
      <c r="E490" s="183"/>
      <c r="F490" s="184" t="s">
        <v>199</v>
      </c>
      <c r="G490" s="127"/>
      <c r="H490" s="178"/>
      <c r="I490" s="119"/>
      <c r="J490" s="272"/>
      <c r="K490" s="272"/>
      <c r="L490" s="118" t="s">
        <v>577</v>
      </c>
      <c r="M490" s="273" t="s">
        <v>580</v>
      </c>
      <c r="N490" s="273"/>
      <c r="O490" s="123" t="s">
        <v>198</v>
      </c>
      <c r="P490" s="185"/>
      <c r="Q490" s="186" t="s">
        <v>50</v>
      </c>
      <c r="R490" s="185"/>
      <c r="S490" s="123" t="s">
        <v>198</v>
      </c>
      <c r="T490" s="185"/>
      <c r="U490" s="186" t="s">
        <v>50</v>
      </c>
      <c r="V490" s="185"/>
    </row>
    <row r="491" spans="2:22" s="182" customFormat="1" ht="47.25" hidden="1" customHeight="1" outlineLevel="4">
      <c r="B491" s="175" t="s">
        <v>453</v>
      </c>
      <c r="C491" s="175"/>
      <c r="D491" s="175"/>
      <c r="E491" s="175"/>
      <c r="F491" s="176" t="s">
        <v>231</v>
      </c>
      <c r="G491" s="177" t="s">
        <v>581</v>
      </c>
      <c r="H491" s="178" t="s">
        <v>283</v>
      </c>
      <c r="I491" s="119" t="s">
        <v>195</v>
      </c>
      <c r="J491" s="179"/>
      <c r="K491" s="177"/>
      <c r="L491" s="177"/>
      <c r="M491" s="265"/>
      <c r="N491" s="265"/>
      <c r="O491" s="123" t="s">
        <v>198</v>
      </c>
      <c r="P491" s="180"/>
      <c r="Q491" s="181" t="s">
        <v>50</v>
      </c>
      <c r="R491" s="180"/>
      <c r="S491" s="123" t="s">
        <v>198</v>
      </c>
      <c r="T491" s="180"/>
      <c r="U491" s="181" t="s">
        <v>50</v>
      </c>
      <c r="V491" s="180"/>
    </row>
    <row r="492" spans="2:22" s="187" customFormat="1" ht="69" hidden="1" customHeight="1" outlineLevel="5">
      <c r="B492" s="183"/>
      <c r="C492" s="183"/>
      <c r="D492" s="183"/>
      <c r="E492" s="183"/>
      <c r="F492" s="184" t="s">
        <v>199</v>
      </c>
      <c r="G492" s="127"/>
      <c r="H492" s="178"/>
      <c r="I492" s="119"/>
      <c r="J492" s="269" t="s">
        <v>365</v>
      </c>
      <c r="K492" s="269" t="s">
        <v>582</v>
      </c>
      <c r="L492" s="118" t="s">
        <v>219</v>
      </c>
      <c r="M492" s="273" t="s">
        <v>210</v>
      </c>
      <c r="N492" s="273"/>
      <c r="O492" s="123" t="s">
        <v>198</v>
      </c>
      <c r="P492" s="185"/>
      <c r="Q492" s="186" t="s">
        <v>50</v>
      </c>
      <c r="R492" s="185"/>
      <c r="S492" s="123" t="s">
        <v>198</v>
      </c>
      <c r="T492" s="185"/>
      <c r="U492" s="186" t="s">
        <v>50</v>
      </c>
      <c r="V492" s="185"/>
    </row>
    <row r="493" spans="2:22" s="187" customFormat="1" ht="57.75" hidden="1" customHeight="1" outlineLevel="5">
      <c r="B493" s="183"/>
      <c r="C493" s="183"/>
      <c r="D493" s="183"/>
      <c r="E493" s="183"/>
      <c r="F493" s="184" t="s">
        <v>199</v>
      </c>
      <c r="G493" s="127"/>
      <c r="H493" s="178"/>
      <c r="I493" s="119"/>
      <c r="J493" s="270"/>
      <c r="K493" s="270"/>
      <c r="L493" s="188" t="s">
        <v>290</v>
      </c>
      <c r="M493" s="274" t="s">
        <v>575</v>
      </c>
      <c r="N493" s="274"/>
      <c r="O493" s="123" t="s">
        <v>198</v>
      </c>
      <c r="P493" s="185"/>
      <c r="Q493" s="186" t="s">
        <v>50</v>
      </c>
      <c r="R493" s="185"/>
      <c r="S493" s="123" t="s">
        <v>198</v>
      </c>
      <c r="T493" s="185"/>
      <c r="U493" s="186" t="s">
        <v>50</v>
      </c>
      <c r="V493" s="185"/>
    </row>
    <row r="494" spans="2:22" s="187" customFormat="1" ht="57.75" hidden="1" customHeight="1" outlineLevel="5">
      <c r="B494" s="183"/>
      <c r="C494" s="183"/>
      <c r="D494" s="183"/>
      <c r="E494" s="183"/>
      <c r="F494" s="184" t="s">
        <v>199</v>
      </c>
      <c r="G494" s="127"/>
      <c r="H494" s="178"/>
      <c r="I494" s="119"/>
      <c r="J494" s="270"/>
      <c r="K494" s="270"/>
      <c r="L494" s="118" t="s">
        <v>206</v>
      </c>
      <c r="M494" s="273" t="s">
        <v>583</v>
      </c>
      <c r="N494" s="273"/>
      <c r="O494" s="123" t="s">
        <v>198</v>
      </c>
      <c r="P494" s="185"/>
      <c r="Q494" s="186" t="s">
        <v>50</v>
      </c>
      <c r="R494" s="185"/>
      <c r="S494" s="123" t="s">
        <v>198</v>
      </c>
      <c r="T494" s="185"/>
      <c r="U494" s="186" t="s">
        <v>50</v>
      </c>
      <c r="V494" s="185"/>
    </row>
    <row r="495" spans="2:22" s="187" customFormat="1" ht="57.75" hidden="1" customHeight="1" outlineLevel="5">
      <c r="B495" s="183"/>
      <c r="C495" s="183"/>
      <c r="D495" s="183"/>
      <c r="E495" s="183"/>
      <c r="F495" s="184" t="s">
        <v>199</v>
      </c>
      <c r="G495" s="127"/>
      <c r="H495" s="178"/>
      <c r="I495" s="119"/>
      <c r="J495" s="271"/>
      <c r="K495" s="272"/>
      <c r="L495" s="118" t="s">
        <v>577</v>
      </c>
      <c r="M495" s="273" t="s">
        <v>584</v>
      </c>
      <c r="N495" s="273"/>
      <c r="O495" s="123" t="s">
        <v>198</v>
      </c>
      <c r="P495" s="185"/>
      <c r="Q495" s="186" t="s">
        <v>50</v>
      </c>
      <c r="R495" s="185"/>
      <c r="S495" s="123" t="s">
        <v>198</v>
      </c>
      <c r="T495" s="185"/>
      <c r="U495" s="186" t="s">
        <v>50</v>
      </c>
      <c r="V495" s="185"/>
    </row>
    <row r="496" spans="2:22" s="187" customFormat="1" ht="69" hidden="1" customHeight="1" outlineLevel="5">
      <c r="B496" s="183"/>
      <c r="C496" s="183"/>
      <c r="D496" s="183"/>
      <c r="E496" s="183"/>
      <c r="F496" s="184" t="s">
        <v>199</v>
      </c>
      <c r="G496" s="127"/>
      <c r="H496" s="178"/>
      <c r="I496" s="119"/>
      <c r="J496" s="271"/>
      <c r="K496" s="269" t="s">
        <v>585</v>
      </c>
      <c r="L496" s="118" t="s">
        <v>219</v>
      </c>
      <c r="M496" s="273" t="s">
        <v>210</v>
      </c>
      <c r="N496" s="273"/>
      <c r="O496" s="123" t="s">
        <v>198</v>
      </c>
      <c r="P496" s="185"/>
      <c r="Q496" s="186" t="s">
        <v>50</v>
      </c>
      <c r="R496" s="185"/>
      <c r="S496" s="123" t="s">
        <v>198</v>
      </c>
      <c r="T496" s="185"/>
      <c r="U496" s="186" t="s">
        <v>50</v>
      </c>
      <c r="V496" s="185"/>
    </row>
    <row r="497" spans="2:22" s="187" customFormat="1" ht="57.75" hidden="1" customHeight="1" outlineLevel="5">
      <c r="B497" s="183"/>
      <c r="C497" s="183"/>
      <c r="D497" s="183"/>
      <c r="E497" s="183"/>
      <c r="F497" s="184" t="s">
        <v>199</v>
      </c>
      <c r="G497" s="127"/>
      <c r="H497" s="178"/>
      <c r="I497" s="119"/>
      <c r="J497" s="271"/>
      <c r="K497" s="270"/>
      <c r="L497" s="188" t="s">
        <v>290</v>
      </c>
      <c r="M497" s="274" t="s">
        <v>211</v>
      </c>
      <c r="N497" s="274"/>
      <c r="O497" s="123" t="s">
        <v>198</v>
      </c>
      <c r="P497" s="185"/>
      <c r="Q497" s="186" t="s">
        <v>50</v>
      </c>
      <c r="R497" s="185"/>
      <c r="S497" s="123" t="s">
        <v>198</v>
      </c>
      <c r="T497" s="185"/>
      <c r="U497" s="186" t="s">
        <v>50</v>
      </c>
      <c r="V497" s="185"/>
    </row>
    <row r="498" spans="2:22" s="187" customFormat="1" ht="57.75" hidden="1" customHeight="1" outlineLevel="5">
      <c r="B498" s="183"/>
      <c r="C498" s="183"/>
      <c r="D498" s="183"/>
      <c r="E498" s="183"/>
      <c r="F498" s="184" t="s">
        <v>199</v>
      </c>
      <c r="G498" s="127"/>
      <c r="H498" s="178"/>
      <c r="I498" s="119"/>
      <c r="J498" s="271"/>
      <c r="K498" s="270"/>
      <c r="L498" s="118" t="s">
        <v>206</v>
      </c>
      <c r="M498" s="273" t="s">
        <v>576</v>
      </c>
      <c r="N498" s="273"/>
      <c r="O498" s="123" t="s">
        <v>198</v>
      </c>
      <c r="P498" s="185"/>
      <c r="Q498" s="186" t="s">
        <v>50</v>
      </c>
      <c r="R498" s="185"/>
      <c r="S498" s="123" t="s">
        <v>198</v>
      </c>
      <c r="T498" s="185"/>
      <c r="U498" s="186" t="s">
        <v>50</v>
      </c>
      <c r="V498" s="185"/>
    </row>
    <row r="499" spans="2:22" s="187" customFormat="1" ht="57.75" hidden="1" customHeight="1" outlineLevel="5">
      <c r="B499" s="183"/>
      <c r="C499" s="183"/>
      <c r="D499" s="183"/>
      <c r="E499" s="183"/>
      <c r="F499" s="184" t="s">
        <v>199</v>
      </c>
      <c r="G499" s="127"/>
      <c r="H499" s="178"/>
      <c r="I499" s="119"/>
      <c r="J499" s="272"/>
      <c r="K499" s="272"/>
      <c r="L499" s="118" t="s">
        <v>577</v>
      </c>
      <c r="M499" s="273" t="s">
        <v>578</v>
      </c>
      <c r="N499" s="273"/>
      <c r="O499" s="123" t="s">
        <v>198</v>
      </c>
      <c r="P499" s="185"/>
      <c r="Q499" s="186" t="s">
        <v>50</v>
      </c>
      <c r="R499" s="185"/>
      <c r="S499" s="123" t="s">
        <v>198</v>
      </c>
      <c r="T499" s="185"/>
      <c r="U499" s="186" t="s">
        <v>50</v>
      </c>
      <c r="V499" s="185"/>
    </row>
    <row r="500" spans="2:22">
      <c r="J500" s="138"/>
      <c r="L500" s="97"/>
    </row>
    <row r="501" spans="2:22">
      <c r="J501" s="138"/>
      <c r="L501" s="97"/>
    </row>
    <row r="502" spans="2:22">
      <c r="J502" s="138"/>
      <c r="L502" s="97"/>
    </row>
    <row r="503" spans="2:22">
      <c r="J503" s="138"/>
      <c r="L503" s="97"/>
    </row>
    <row r="504" spans="2:22">
      <c r="J504" s="138"/>
      <c r="L504" s="97"/>
    </row>
    <row r="505" spans="2:22">
      <c r="J505" s="138"/>
      <c r="L505" s="97"/>
    </row>
    <row r="506" spans="2:22">
      <c r="J506" s="138"/>
      <c r="L506" s="97"/>
    </row>
    <row r="507" spans="2:22">
      <c r="J507" s="138"/>
      <c r="L507" s="97"/>
    </row>
    <row r="508" spans="2:22">
      <c r="J508" s="138"/>
      <c r="L508" s="97"/>
    </row>
    <row r="509" spans="2:22">
      <c r="J509" s="138"/>
      <c r="L509" s="97"/>
    </row>
    <row r="510" spans="2:22">
      <c r="J510" s="138"/>
      <c r="L510" s="97"/>
    </row>
    <row r="511" spans="2:22">
      <c r="J511" s="138"/>
      <c r="L511" s="97"/>
    </row>
    <row r="512" spans="2:22">
      <c r="J512" s="138"/>
      <c r="L512" s="97"/>
    </row>
    <row r="513" spans="10:12">
      <c r="J513" s="138"/>
      <c r="L513" s="97"/>
    </row>
    <row r="514" spans="10:12">
      <c r="J514" s="138"/>
      <c r="L514" s="97"/>
    </row>
    <row r="515" spans="10:12">
      <c r="J515" s="138"/>
      <c r="L515" s="97"/>
    </row>
    <row r="516" spans="10:12">
      <c r="J516" s="138"/>
      <c r="L516" s="97"/>
    </row>
    <row r="517" spans="10:12">
      <c r="J517" s="138"/>
      <c r="L517" s="97"/>
    </row>
    <row r="518" spans="10:12">
      <c r="J518" s="138"/>
      <c r="L518" s="97"/>
    </row>
    <row r="519" spans="10:12">
      <c r="J519" s="138"/>
      <c r="L519" s="97"/>
    </row>
    <row r="520" spans="10:12">
      <c r="J520" s="138"/>
      <c r="L520" s="97"/>
    </row>
    <row r="521" spans="10:12">
      <c r="J521" s="138"/>
      <c r="L521" s="97"/>
    </row>
    <row r="522" spans="10:12">
      <c r="J522" s="138"/>
      <c r="L522" s="97"/>
    </row>
    <row r="523" spans="10:12">
      <c r="J523" s="138"/>
      <c r="L523" s="97"/>
    </row>
    <row r="524" spans="10:12">
      <c r="J524" s="138"/>
      <c r="L524" s="97"/>
    </row>
    <row r="525" spans="10:12">
      <c r="J525" s="138"/>
      <c r="L525" s="97"/>
    </row>
    <row r="526" spans="10:12">
      <c r="J526" s="138"/>
      <c r="L526" s="97"/>
    </row>
    <row r="527" spans="10:12">
      <c r="J527" s="138"/>
      <c r="L527" s="97"/>
    </row>
    <row r="528" spans="10:12">
      <c r="J528" s="138"/>
      <c r="L528" s="97"/>
    </row>
    <row r="529" spans="10:12">
      <c r="J529" s="138"/>
      <c r="L529" s="97"/>
    </row>
    <row r="530" spans="10:12">
      <c r="J530" s="138"/>
      <c r="L530" s="97"/>
    </row>
    <row r="531" spans="10:12">
      <c r="J531" s="138"/>
      <c r="L531" s="97"/>
    </row>
    <row r="532" spans="10:12">
      <c r="J532" s="138"/>
      <c r="L532" s="97"/>
    </row>
    <row r="533" spans="10:12">
      <c r="J533" s="138"/>
      <c r="L533" s="97"/>
    </row>
    <row r="534" spans="10:12">
      <c r="J534" s="138"/>
      <c r="L534" s="97"/>
    </row>
    <row r="535" spans="10:12">
      <c r="J535" s="138"/>
      <c r="L535" s="97"/>
    </row>
    <row r="536" spans="10:12">
      <c r="J536" s="138"/>
      <c r="L536" s="97"/>
    </row>
    <row r="537" spans="10:12">
      <c r="J537" s="138"/>
      <c r="L537" s="97"/>
    </row>
    <row r="538" spans="10:12">
      <c r="J538" s="138"/>
      <c r="L538" s="97"/>
    </row>
    <row r="539" spans="10:12">
      <c r="J539" s="138"/>
      <c r="L539" s="97"/>
    </row>
    <row r="540" spans="10:12">
      <c r="J540" s="138"/>
      <c r="L540" s="97"/>
    </row>
    <row r="541" spans="10:12">
      <c r="J541" s="138"/>
      <c r="L541" s="97"/>
    </row>
    <row r="542" spans="10:12">
      <c r="J542" s="138"/>
      <c r="L542" s="97"/>
    </row>
    <row r="543" spans="10:12">
      <c r="J543" s="138"/>
      <c r="L543" s="97"/>
    </row>
    <row r="544" spans="10:12">
      <c r="J544" s="138"/>
      <c r="L544" s="97"/>
    </row>
    <row r="545" spans="10:12">
      <c r="J545" s="138"/>
      <c r="L545" s="97"/>
    </row>
    <row r="546" spans="10:12">
      <c r="J546" s="138"/>
      <c r="L546" s="97"/>
    </row>
    <row r="547" spans="10:12">
      <c r="J547" s="138"/>
      <c r="L547" s="97"/>
    </row>
    <row r="548" spans="10:12">
      <c r="J548" s="138"/>
      <c r="L548" s="97"/>
    </row>
    <row r="549" spans="10:12">
      <c r="J549" s="138"/>
      <c r="L549" s="97"/>
    </row>
    <row r="550" spans="10:12">
      <c r="J550" s="138"/>
      <c r="L550" s="97"/>
    </row>
    <row r="551" spans="10:12">
      <c r="J551" s="138"/>
      <c r="L551" s="97"/>
    </row>
    <row r="552" spans="10:12">
      <c r="J552" s="138"/>
      <c r="L552" s="97"/>
    </row>
    <row r="553" spans="10:12">
      <c r="J553" s="138"/>
      <c r="L553" s="97"/>
    </row>
    <row r="554" spans="10:12">
      <c r="J554" s="138"/>
      <c r="L554" s="97"/>
    </row>
    <row r="555" spans="10:12">
      <c r="J555" s="138"/>
      <c r="L555" s="97"/>
    </row>
    <row r="556" spans="10:12">
      <c r="J556" s="138"/>
      <c r="L556" s="97"/>
    </row>
    <row r="557" spans="10:12">
      <c r="J557" s="138"/>
      <c r="L557" s="97"/>
    </row>
    <row r="558" spans="10:12">
      <c r="J558" s="138"/>
      <c r="L558" s="97"/>
    </row>
    <row r="559" spans="10:12">
      <c r="J559" s="138"/>
      <c r="L559" s="97"/>
    </row>
    <row r="560" spans="10:12">
      <c r="J560" s="138"/>
      <c r="L560" s="97"/>
    </row>
    <row r="561" spans="10:12">
      <c r="J561" s="138"/>
      <c r="L561" s="97"/>
    </row>
    <row r="562" spans="10:12">
      <c r="J562" s="138"/>
      <c r="L562" s="97"/>
    </row>
    <row r="563" spans="10:12">
      <c r="J563" s="138"/>
      <c r="L563" s="97"/>
    </row>
    <row r="564" spans="10:12">
      <c r="J564" s="138"/>
      <c r="L564" s="97"/>
    </row>
    <row r="565" spans="10:12">
      <c r="J565" s="138"/>
      <c r="L565" s="97"/>
    </row>
    <row r="566" spans="10:12">
      <c r="J566" s="138"/>
      <c r="L566" s="97"/>
    </row>
    <row r="567" spans="10:12">
      <c r="J567" s="138"/>
      <c r="L567" s="97"/>
    </row>
    <row r="568" spans="10:12">
      <c r="J568" s="138"/>
      <c r="L568" s="97"/>
    </row>
    <row r="569" spans="10:12">
      <c r="J569" s="138"/>
      <c r="L569" s="97"/>
    </row>
    <row r="570" spans="10:12">
      <c r="J570" s="138"/>
      <c r="L570" s="97"/>
    </row>
    <row r="571" spans="10:12">
      <c r="J571" s="138"/>
      <c r="L571" s="97"/>
    </row>
    <row r="572" spans="10:12">
      <c r="J572" s="138"/>
      <c r="L572" s="97"/>
    </row>
    <row r="573" spans="10:12">
      <c r="J573" s="138"/>
      <c r="L573" s="97"/>
    </row>
    <row r="574" spans="10:12">
      <c r="J574" s="138"/>
      <c r="L574" s="97"/>
    </row>
    <row r="575" spans="10:12">
      <c r="J575" s="138"/>
      <c r="L575" s="97"/>
    </row>
    <row r="576" spans="10:12">
      <c r="J576" s="138"/>
      <c r="L576" s="97"/>
    </row>
    <row r="577" spans="10:12">
      <c r="J577" s="138"/>
      <c r="L577" s="97"/>
    </row>
    <row r="578" spans="10:12">
      <c r="J578" s="138"/>
      <c r="L578" s="97"/>
    </row>
    <row r="579" spans="10:12">
      <c r="J579" s="138"/>
      <c r="L579" s="97"/>
    </row>
    <row r="580" spans="10:12">
      <c r="J580" s="138"/>
      <c r="L580" s="97"/>
    </row>
    <row r="581" spans="10:12">
      <c r="J581" s="138"/>
      <c r="L581" s="97"/>
    </row>
    <row r="582" spans="10:12">
      <c r="J582" s="138"/>
      <c r="L582" s="97"/>
    </row>
    <row r="583" spans="10:12">
      <c r="J583" s="138"/>
      <c r="L583" s="97"/>
    </row>
    <row r="584" spans="10:12">
      <c r="J584" s="138"/>
      <c r="L584" s="97"/>
    </row>
    <row r="585" spans="10:12">
      <c r="J585" s="138"/>
      <c r="L585" s="97"/>
    </row>
    <row r="586" spans="10:12">
      <c r="J586" s="138"/>
      <c r="L586" s="97"/>
    </row>
    <row r="587" spans="10:12">
      <c r="J587" s="138"/>
      <c r="L587" s="97"/>
    </row>
    <row r="588" spans="10:12">
      <c r="J588" s="138"/>
      <c r="L588" s="97"/>
    </row>
    <row r="589" spans="10:12">
      <c r="J589" s="138"/>
      <c r="L589" s="97"/>
    </row>
    <row r="590" spans="10:12">
      <c r="J590" s="138"/>
      <c r="L590" s="97"/>
    </row>
    <row r="591" spans="10:12">
      <c r="J591" s="138"/>
      <c r="L591" s="97"/>
    </row>
    <row r="592" spans="10:12">
      <c r="J592" s="138"/>
      <c r="L592" s="97"/>
    </row>
    <row r="593" spans="10:12">
      <c r="J593" s="138"/>
      <c r="L593" s="97"/>
    </row>
    <row r="594" spans="10:12">
      <c r="J594" s="138"/>
      <c r="L594" s="97"/>
    </row>
    <row r="595" spans="10:12">
      <c r="J595" s="138"/>
      <c r="L595" s="97"/>
    </row>
    <row r="596" spans="10:12">
      <c r="J596" s="138"/>
      <c r="L596" s="97"/>
    </row>
    <row r="597" spans="10:12">
      <c r="J597" s="138"/>
      <c r="L597" s="97"/>
    </row>
    <row r="598" spans="10:12">
      <c r="J598" s="138"/>
      <c r="L598" s="97"/>
    </row>
    <row r="599" spans="10:12">
      <c r="J599" s="138"/>
      <c r="L599" s="97"/>
    </row>
    <row r="600" spans="10:12">
      <c r="J600" s="138"/>
      <c r="L600" s="97"/>
    </row>
    <row r="601" spans="10:12">
      <c r="J601" s="138"/>
      <c r="L601" s="97"/>
    </row>
    <row r="602" spans="10:12">
      <c r="J602" s="138"/>
      <c r="L602" s="97"/>
    </row>
    <row r="603" spans="10:12">
      <c r="J603" s="138"/>
      <c r="L603" s="97"/>
    </row>
    <row r="604" spans="10:12">
      <c r="J604" s="138"/>
      <c r="L604" s="97"/>
    </row>
    <row r="605" spans="10:12">
      <c r="J605" s="138"/>
      <c r="L605" s="97"/>
    </row>
    <row r="606" spans="10:12">
      <c r="J606" s="138"/>
      <c r="L606" s="97"/>
    </row>
    <row r="607" spans="10:12">
      <c r="J607" s="138"/>
      <c r="L607" s="97"/>
    </row>
    <row r="608" spans="10:12">
      <c r="J608" s="138"/>
      <c r="L608" s="97"/>
    </row>
    <row r="609" spans="10:12">
      <c r="J609" s="138"/>
      <c r="L609" s="97"/>
    </row>
    <row r="610" spans="10:12">
      <c r="J610" s="138"/>
      <c r="L610" s="97"/>
    </row>
    <row r="611" spans="10:12">
      <c r="J611" s="138"/>
      <c r="L611" s="97"/>
    </row>
    <row r="612" spans="10:12">
      <c r="J612" s="138"/>
      <c r="L612" s="97"/>
    </row>
    <row r="613" spans="10:12">
      <c r="J613" s="138"/>
      <c r="L613" s="97"/>
    </row>
    <row r="614" spans="10:12">
      <c r="J614" s="138"/>
      <c r="L614" s="97"/>
    </row>
    <row r="615" spans="10:12">
      <c r="J615" s="138"/>
      <c r="L615" s="97"/>
    </row>
    <row r="616" spans="10:12">
      <c r="J616" s="138"/>
      <c r="L616" s="97"/>
    </row>
    <row r="617" spans="10:12">
      <c r="J617" s="138"/>
      <c r="L617" s="97"/>
    </row>
    <row r="618" spans="10:12">
      <c r="J618" s="138"/>
      <c r="L618" s="97"/>
    </row>
    <row r="619" spans="10:12">
      <c r="J619" s="138"/>
      <c r="L619" s="97"/>
    </row>
    <row r="620" spans="10:12">
      <c r="J620" s="138"/>
      <c r="L620" s="97"/>
    </row>
    <row r="621" spans="10:12">
      <c r="J621" s="138"/>
      <c r="L621" s="97"/>
    </row>
    <row r="622" spans="10:12">
      <c r="J622" s="138"/>
      <c r="L622" s="97"/>
    </row>
    <row r="623" spans="10:12">
      <c r="J623" s="138"/>
      <c r="L623" s="97"/>
    </row>
    <row r="624" spans="10:12">
      <c r="J624" s="138"/>
      <c r="L624" s="97"/>
    </row>
    <row r="625" spans="10:12">
      <c r="J625" s="138"/>
      <c r="L625" s="97"/>
    </row>
    <row r="626" spans="10:12">
      <c r="J626" s="138"/>
      <c r="L626" s="97"/>
    </row>
    <row r="627" spans="10:12">
      <c r="J627" s="138"/>
      <c r="L627" s="97"/>
    </row>
    <row r="628" spans="10:12">
      <c r="J628" s="138"/>
      <c r="L628" s="97"/>
    </row>
    <row r="629" spans="10:12">
      <c r="J629" s="138"/>
      <c r="L629" s="97"/>
    </row>
    <row r="630" spans="10:12">
      <c r="J630" s="138"/>
      <c r="L630" s="97"/>
    </row>
    <row r="631" spans="10:12">
      <c r="J631" s="138"/>
      <c r="L631" s="97"/>
    </row>
    <row r="632" spans="10:12">
      <c r="J632" s="138"/>
      <c r="L632" s="97"/>
    </row>
    <row r="633" spans="10:12">
      <c r="J633" s="138"/>
      <c r="L633" s="97"/>
    </row>
    <row r="634" spans="10:12">
      <c r="J634" s="138"/>
      <c r="L634" s="97"/>
    </row>
    <row r="635" spans="10:12">
      <c r="J635" s="138"/>
      <c r="L635" s="97"/>
    </row>
    <row r="636" spans="10:12">
      <c r="J636" s="138"/>
      <c r="L636" s="97"/>
    </row>
    <row r="637" spans="10:12">
      <c r="J637" s="138"/>
      <c r="L637" s="97"/>
    </row>
    <row r="638" spans="10:12">
      <c r="J638" s="138"/>
      <c r="L638" s="97"/>
    </row>
    <row r="639" spans="10:12">
      <c r="J639" s="138"/>
      <c r="L639" s="97"/>
    </row>
    <row r="640" spans="10:12">
      <c r="J640" s="138"/>
      <c r="L640" s="97"/>
    </row>
    <row r="641" spans="10:12">
      <c r="J641" s="138"/>
      <c r="L641" s="97"/>
    </row>
    <row r="642" spans="10:12">
      <c r="J642" s="138"/>
      <c r="L642" s="97"/>
    </row>
    <row r="643" spans="10:12">
      <c r="J643" s="138"/>
      <c r="L643" s="97"/>
    </row>
    <row r="644" spans="10:12">
      <c r="J644" s="138"/>
      <c r="L644" s="97"/>
    </row>
    <row r="645" spans="10:12">
      <c r="J645" s="138"/>
      <c r="L645" s="97"/>
    </row>
    <row r="646" spans="10:12">
      <c r="J646" s="138"/>
      <c r="L646" s="97"/>
    </row>
    <row r="647" spans="10:12">
      <c r="J647" s="138"/>
      <c r="L647" s="97"/>
    </row>
    <row r="648" spans="10:12">
      <c r="J648" s="138"/>
      <c r="L648" s="97"/>
    </row>
    <row r="649" spans="10:12">
      <c r="J649" s="138"/>
      <c r="L649" s="97"/>
    </row>
    <row r="650" spans="10:12">
      <c r="J650" s="138"/>
      <c r="L650" s="97"/>
    </row>
    <row r="651" spans="10:12">
      <c r="J651" s="138"/>
      <c r="L651" s="97"/>
    </row>
    <row r="652" spans="10:12">
      <c r="J652" s="138"/>
      <c r="L652" s="97"/>
    </row>
    <row r="653" spans="10:12">
      <c r="J653" s="138"/>
      <c r="L653" s="97"/>
    </row>
    <row r="654" spans="10:12">
      <c r="J654" s="138"/>
      <c r="L654" s="97"/>
    </row>
    <row r="655" spans="10:12">
      <c r="J655" s="138"/>
      <c r="L655" s="97"/>
    </row>
    <row r="656" spans="10:12">
      <c r="J656" s="138"/>
      <c r="L656" s="97"/>
    </row>
    <row r="657" spans="10:12">
      <c r="J657" s="138"/>
      <c r="L657" s="97"/>
    </row>
    <row r="658" spans="10:12">
      <c r="J658" s="138"/>
      <c r="L658" s="97"/>
    </row>
    <row r="659" spans="10:12">
      <c r="J659" s="138"/>
      <c r="L659" s="97"/>
    </row>
    <row r="660" spans="10:12">
      <c r="J660" s="138"/>
      <c r="L660" s="97"/>
    </row>
    <row r="661" spans="10:12">
      <c r="J661" s="138"/>
      <c r="L661" s="97"/>
    </row>
    <row r="662" spans="10:12">
      <c r="J662" s="138"/>
      <c r="L662" s="97"/>
    </row>
    <row r="663" spans="10:12">
      <c r="J663" s="138"/>
      <c r="L663" s="97"/>
    </row>
    <row r="664" spans="10:12">
      <c r="J664" s="138"/>
      <c r="L664" s="97"/>
    </row>
    <row r="665" spans="10:12">
      <c r="J665" s="138"/>
      <c r="L665" s="97"/>
    </row>
    <row r="666" spans="10:12">
      <c r="J666" s="138"/>
      <c r="L666" s="97"/>
    </row>
    <row r="667" spans="10:12">
      <c r="J667" s="138"/>
      <c r="L667" s="97"/>
    </row>
    <row r="668" spans="10:12">
      <c r="J668" s="138"/>
      <c r="L668" s="97"/>
    </row>
    <row r="669" spans="10:12">
      <c r="J669" s="138"/>
      <c r="L669" s="97"/>
    </row>
    <row r="670" spans="10:12">
      <c r="J670" s="138"/>
      <c r="L670" s="97"/>
    </row>
    <row r="671" spans="10:12">
      <c r="J671" s="138"/>
      <c r="L671" s="97"/>
    </row>
    <row r="672" spans="10:12">
      <c r="J672" s="138"/>
      <c r="L672" s="97"/>
    </row>
    <row r="673" spans="10:12">
      <c r="J673" s="138"/>
      <c r="L673" s="97"/>
    </row>
    <row r="674" spans="10:12">
      <c r="J674" s="138"/>
      <c r="L674" s="97"/>
    </row>
    <row r="675" spans="10:12">
      <c r="J675" s="138"/>
      <c r="L675" s="97"/>
    </row>
    <row r="676" spans="10:12">
      <c r="J676" s="138"/>
      <c r="L676" s="97"/>
    </row>
    <row r="677" spans="10:12">
      <c r="J677" s="138"/>
      <c r="L677" s="97"/>
    </row>
    <row r="678" spans="10:12">
      <c r="J678" s="138"/>
      <c r="L678" s="97"/>
    </row>
    <row r="679" spans="10:12">
      <c r="J679" s="138"/>
      <c r="L679" s="97"/>
    </row>
    <row r="680" spans="10:12">
      <c r="J680" s="138"/>
      <c r="L680" s="97"/>
    </row>
    <row r="681" spans="10:12">
      <c r="J681" s="138"/>
      <c r="L681" s="97"/>
    </row>
    <row r="682" spans="10:12">
      <c r="J682" s="138"/>
      <c r="L682" s="97"/>
    </row>
    <row r="683" spans="10:12">
      <c r="J683" s="138"/>
      <c r="L683" s="97"/>
    </row>
    <row r="684" spans="10:12">
      <c r="J684" s="138"/>
      <c r="L684" s="97"/>
    </row>
    <row r="685" spans="10:12">
      <c r="J685" s="138"/>
      <c r="L685" s="97"/>
    </row>
    <row r="686" spans="10:12">
      <c r="J686" s="138"/>
      <c r="L686" s="97"/>
    </row>
    <row r="687" spans="10:12">
      <c r="J687" s="138"/>
      <c r="L687" s="97"/>
    </row>
    <row r="688" spans="10:12">
      <c r="J688" s="138"/>
      <c r="L688" s="97"/>
    </row>
    <row r="689" spans="10:12">
      <c r="J689" s="138"/>
      <c r="L689" s="97"/>
    </row>
    <row r="690" spans="10:12">
      <c r="J690" s="138"/>
      <c r="L690" s="97"/>
    </row>
    <row r="691" spans="10:12">
      <c r="J691" s="138"/>
      <c r="L691" s="97"/>
    </row>
    <row r="692" spans="10:12">
      <c r="J692" s="138"/>
      <c r="L692" s="97"/>
    </row>
    <row r="693" spans="10:12">
      <c r="J693" s="138"/>
      <c r="L693" s="97"/>
    </row>
    <row r="694" spans="10:12">
      <c r="J694" s="138"/>
      <c r="L694" s="97"/>
    </row>
    <row r="695" spans="10:12">
      <c r="J695" s="138"/>
      <c r="L695" s="97"/>
    </row>
    <row r="696" spans="10:12">
      <c r="J696" s="138"/>
      <c r="L696" s="97"/>
    </row>
    <row r="697" spans="10:12">
      <c r="J697" s="138"/>
      <c r="L697" s="97"/>
    </row>
    <row r="698" spans="10:12">
      <c r="J698" s="138"/>
      <c r="L698" s="97"/>
    </row>
    <row r="699" spans="10:12">
      <c r="J699" s="138"/>
      <c r="L699" s="97"/>
    </row>
    <row r="700" spans="10:12">
      <c r="J700" s="138"/>
      <c r="L700" s="97"/>
    </row>
    <row r="701" spans="10:12">
      <c r="J701" s="138"/>
      <c r="L701" s="97"/>
    </row>
    <row r="702" spans="10:12">
      <c r="J702" s="138"/>
      <c r="L702" s="97"/>
    </row>
    <row r="703" spans="10:12">
      <c r="J703" s="138"/>
      <c r="L703" s="97"/>
    </row>
    <row r="704" spans="10:12">
      <c r="J704" s="138"/>
      <c r="L704" s="97"/>
    </row>
    <row r="705" spans="10:12">
      <c r="J705" s="138"/>
      <c r="L705" s="97"/>
    </row>
    <row r="706" spans="10:12">
      <c r="J706" s="138"/>
      <c r="L706" s="97"/>
    </row>
    <row r="707" spans="10:12">
      <c r="J707" s="138"/>
      <c r="L707" s="97"/>
    </row>
    <row r="708" spans="10:12">
      <c r="J708" s="138"/>
      <c r="L708" s="97"/>
    </row>
    <row r="709" spans="10:12">
      <c r="J709" s="138"/>
      <c r="L709" s="97"/>
    </row>
    <row r="710" spans="10:12">
      <c r="J710" s="138"/>
      <c r="L710" s="97"/>
    </row>
    <row r="711" spans="10:12">
      <c r="J711" s="138"/>
      <c r="L711" s="97"/>
    </row>
    <row r="712" spans="10:12">
      <c r="J712" s="138"/>
      <c r="L712" s="97"/>
    </row>
    <row r="713" spans="10:12">
      <c r="J713" s="138"/>
      <c r="L713" s="97"/>
    </row>
    <row r="714" spans="10:12">
      <c r="J714" s="138"/>
      <c r="L714" s="97"/>
    </row>
    <row r="715" spans="10:12">
      <c r="J715" s="138"/>
      <c r="L715" s="97"/>
    </row>
    <row r="716" spans="10:12">
      <c r="J716" s="138"/>
      <c r="L716" s="97"/>
    </row>
    <row r="717" spans="10:12">
      <c r="J717" s="138"/>
      <c r="L717" s="97"/>
    </row>
    <row r="718" spans="10:12">
      <c r="J718" s="138"/>
      <c r="L718" s="97"/>
    </row>
    <row r="719" spans="10:12">
      <c r="J719" s="138"/>
      <c r="L719" s="97"/>
    </row>
    <row r="720" spans="10:12">
      <c r="J720" s="138"/>
      <c r="L720" s="97"/>
    </row>
    <row r="721" spans="10:12">
      <c r="J721" s="138"/>
      <c r="L721" s="97"/>
    </row>
    <row r="722" spans="10:12">
      <c r="J722" s="138"/>
      <c r="L722" s="97"/>
    </row>
    <row r="723" spans="10:12">
      <c r="J723" s="138"/>
      <c r="L723" s="97"/>
    </row>
    <row r="724" spans="10:12">
      <c r="J724" s="138"/>
      <c r="L724" s="97"/>
    </row>
    <row r="725" spans="10:12">
      <c r="J725" s="138"/>
      <c r="L725" s="97"/>
    </row>
    <row r="726" spans="10:12">
      <c r="J726" s="138"/>
      <c r="L726" s="97"/>
    </row>
    <row r="727" spans="10:12">
      <c r="J727" s="138"/>
      <c r="L727" s="97"/>
    </row>
    <row r="728" spans="10:12">
      <c r="J728" s="138"/>
      <c r="L728" s="97"/>
    </row>
    <row r="729" spans="10:12">
      <c r="J729" s="138"/>
      <c r="L729" s="97"/>
    </row>
    <row r="730" spans="10:12">
      <c r="J730" s="138"/>
      <c r="L730" s="97"/>
    </row>
    <row r="731" spans="10:12">
      <c r="J731" s="138"/>
      <c r="L731" s="97"/>
    </row>
    <row r="732" spans="10:12">
      <c r="J732" s="138"/>
      <c r="L732" s="97"/>
    </row>
    <row r="733" spans="10:12">
      <c r="J733" s="138"/>
      <c r="L733" s="97"/>
    </row>
    <row r="734" spans="10:12">
      <c r="J734" s="138"/>
      <c r="L734" s="97"/>
    </row>
    <row r="735" spans="10:12">
      <c r="J735" s="138"/>
      <c r="L735" s="97"/>
    </row>
    <row r="736" spans="10:12">
      <c r="J736" s="138"/>
      <c r="L736" s="97"/>
    </row>
    <row r="737" spans="10:12">
      <c r="J737" s="138"/>
      <c r="L737" s="97"/>
    </row>
    <row r="738" spans="10:12">
      <c r="J738" s="138"/>
      <c r="L738" s="97"/>
    </row>
    <row r="739" spans="10:12">
      <c r="J739" s="138"/>
      <c r="L739" s="97"/>
    </row>
    <row r="740" spans="10:12">
      <c r="J740" s="138"/>
      <c r="L740" s="97"/>
    </row>
    <row r="741" spans="10:12">
      <c r="J741" s="138"/>
      <c r="L741" s="97"/>
    </row>
    <row r="742" spans="10:12">
      <c r="J742" s="138"/>
      <c r="L742" s="97"/>
    </row>
    <row r="743" spans="10:12">
      <c r="J743" s="138"/>
      <c r="L743" s="97"/>
    </row>
    <row r="744" spans="10:12">
      <c r="J744" s="138"/>
      <c r="L744" s="97"/>
    </row>
    <row r="745" spans="10:12">
      <c r="J745" s="138"/>
      <c r="L745" s="97"/>
    </row>
    <row r="746" spans="10:12">
      <c r="J746" s="138"/>
      <c r="L746" s="97"/>
    </row>
    <row r="747" spans="10:12">
      <c r="J747" s="138"/>
      <c r="L747" s="97"/>
    </row>
    <row r="748" spans="10:12">
      <c r="J748" s="138"/>
      <c r="L748" s="97"/>
    </row>
    <row r="749" spans="10:12">
      <c r="J749" s="138"/>
      <c r="L749" s="97"/>
    </row>
    <row r="750" spans="10:12">
      <c r="J750" s="138"/>
      <c r="L750" s="97"/>
    </row>
    <row r="751" spans="10:12">
      <c r="J751" s="138"/>
      <c r="L751" s="97"/>
    </row>
    <row r="752" spans="10:12">
      <c r="J752" s="138"/>
      <c r="L752" s="97"/>
    </row>
    <row r="753" spans="10:12">
      <c r="J753" s="138"/>
      <c r="L753" s="97"/>
    </row>
    <row r="754" spans="10:12">
      <c r="J754" s="138"/>
      <c r="L754" s="97"/>
    </row>
    <row r="755" spans="10:12">
      <c r="J755" s="138"/>
      <c r="L755" s="97"/>
    </row>
    <row r="756" spans="10:12">
      <c r="J756" s="138"/>
      <c r="L756" s="97"/>
    </row>
    <row r="757" spans="10:12">
      <c r="J757" s="138"/>
      <c r="L757" s="97"/>
    </row>
    <row r="758" spans="10:12">
      <c r="J758" s="138"/>
      <c r="L758" s="97"/>
    </row>
    <row r="759" spans="10:12">
      <c r="J759" s="138"/>
      <c r="L759" s="97"/>
    </row>
    <row r="760" spans="10:12">
      <c r="J760" s="138"/>
      <c r="L760" s="97"/>
    </row>
    <row r="761" spans="10:12">
      <c r="J761" s="138"/>
      <c r="L761" s="97"/>
    </row>
    <row r="762" spans="10:12">
      <c r="J762" s="138"/>
      <c r="L762" s="97"/>
    </row>
    <row r="763" spans="10:12">
      <c r="J763" s="138"/>
      <c r="L763" s="97"/>
    </row>
    <row r="764" spans="10:12">
      <c r="J764" s="138"/>
      <c r="L764" s="97"/>
    </row>
    <row r="765" spans="10:12">
      <c r="J765" s="138"/>
      <c r="L765" s="97"/>
    </row>
    <row r="766" spans="10:12">
      <c r="J766" s="138"/>
      <c r="L766" s="97"/>
    </row>
    <row r="767" spans="10:12">
      <c r="J767" s="138"/>
      <c r="L767" s="97"/>
    </row>
    <row r="768" spans="10:12">
      <c r="J768" s="138"/>
      <c r="L768" s="97"/>
    </row>
    <row r="769" spans="10:12">
      <c r="J769" s="138"/>
      <c r="L769" s="97"/>
    </row>
    <row r="770" spans="10:12">
      <c r="J770" s="138"/>
      <c r="L770" s="97"/>
    </row>
    <row r="771" spans="10:12">
      <c r="J771" s="138"/>
      <c r="L771" s="97"/>
    </row>
    <row r="772" spans="10:12">
      <c r="J772" s="138"/>
      <c r="L772" s="97"/>
    </row>
    <row r="773" spans="10:12">
      <c r="J773" s="138"/>
      <c r="L773" s="97"/>
    </row>
    <row r="774" spans="10:12">
      <c r="J774" s="138"/>
      <c r="L774" s="97"/>
    </row>
    <row r="775" spans="10:12">
      <c r="J775" s="138"/>
      <c r="L775" s="97"/>
    </row>
    <row r="776" spans="10:12">
      <c r="J776" s="138"/>
      <c r="L776" s="97"/>
    </row>
    <row r="777" spans="10:12">
      <c r="J777" s="138"/>
      <c r="L777" s="97"/>
    </row>
    <row r="778" spans="10:12">
      <c r="J778" s="138"/>
      <c r="L778" s="97"/>
    </row>
    <row r="779" spans="10:12">
      <c r="J779" s="138"/>
      <c r="L779" s="97"/>
    </row>
    <row r="780" spans="10:12">
      <c r="J780" s="138"/>
      <c r="L780" s="97"/>
    </row>
    <row r="781" spans="10:12">
      <c r="J781" s="138"/>
      <c r="L781" s="97"/>
    </row>
    <row r="782" spans="10:12">
      <c r="J782" s="138"/>
      <c r="L782" s="97"/>
    </row>
    <row r="783" spans="10:12">
      <c r="J783" s="138"/>
      <c r="L783" s="97"/>
    </row>
    <row r="784" spans="10:12">
      <c r="J784" s="138"/>
      <c r="L784" s="97"/>
    </row>
    <row r="785" spans="10:12">
      <c r="J785" s="138"/>
      <c r="L785" s="97"/>
    </row>
    <row r="786" spans="10:12">
      <c r="J786" s="138"/>
      <c r="L786" s="97"/>
    </row>
    <row r="787" spans="10:12">
      <c r="J787" s="138"/>
      <c r="L787" s="97"/>
    </row>
    <row r="788" spans="10:12">
      <c r="J788" s="138"/>
      <c r="L788" s="97"/>
    </row>
    <row r="789" spans="10:12">
      <c r="J789" s="138"/>
      <c r="L789" s="97"/>
    </row>
    <row r="790" spans="10:12">
      <c r="J790" s="138"/>
      <c r="L790" s="97"/>
    </row>
    <row r="791" spans="10:12">
      <c r="J791" s="138"/>
      <c r="L791" s="97"/>
    </row>
    <row r="792" spans="10:12">
      <c r="J792" s="138"/>
      <c r="L792" s="97"/>
    </row>
    <row r="793" spans="10:12">
      <c r="J793" s="138"/>
      <c r="L793" s="97"/>
    </row>
    <row r="794" spans="10:12">
      <c r="J794" s="138"/>
      <c r="L794" s="97"/>
    </row>
    <row r="795" spans="10:12">
      <c r="J795" s="138"/>
      <c r="L795" s="97"/>
    </row>
    <row r="796" spans="10:12">
      <c r="J796" s="138"/>
      <c r="L796" s="97"/>
    </row>
    <row r="797" spans="10:12">
      <c r="J797" s="138"/>
      <c r="L797" s="97"/>
    </row>
    <row r="798" spans="10:12">
      <c r="J798" s="138"/>
      <c r="L798" s="97"/>
    </row>
    <row r="799" spans="10:12">
      <c r="J799" s="138"/>
      <c r="L799" s="97"/>
    </row>
    <row r="800" spans="10:12">
      <c r="J800" s="138"/>
      <c r="L800" s="97"/>
    </row>
    <row r="801" spans="10:12">
      <c r="J801" s="138"/>
      <c r="L801" s="97"/>
    </row>
    <row r="802" spans="10:12">
      <c r="J802" s="138"/>
      <c r="L802" s="97"/>
    </row>
    <row r="803" spans="10:12">
      <c r="J803" s="138"/>
      <c r="L803" s="97"/>
    </row>
    <row r="804" spans="10:12">
      <c r="J804" s="138"/>
      <c r="L804" s="97"/>
    </row>
    <row r="805" spans="10:12">
      <c r="J805" s="138"/>
      <c r="L805" s="97"/>
    </row>
    <row r="806" spans="10:12">
      <c r="J806" s="138"/>
      <c r="L806" s="97"/>
    </row>
    <row r="807" spans="10:12">
      <c r="J807" s="138"/>
      <c r="L807" s="97"/>
    </row>
    <row r="808" spans="10:12">
      <c r="J808" s="138"/>
      <c r="L808" s="97"/>
    </row>
    <row r="809" spans="10:12">
      <c r="J809" s="138"/>
      <c r="L809" s="97"/>
    </row>
    <row r="810" spans="10:12">
      <c r="J810" s="138"/>
      <c r="L810" s="97"/>
    </row>
    <row r="811" spans="10:12">
      <c r="J811" s="138"/>
      <c r="L811" s="97"/>
    </row>
    <row r="812" spans="10:12">
      <c r="J812" s="138"/>
      <c r="L812" s="97"/>
    </row>
    <row r="813" spans="10:12">
      <c r="J813" s="138"/>
      <c r="L813" s="97"/>
    </row>
    <row r="814" spans="10:12">
      <c r="J814" s="138"/>
      <c r="L814" s="97"/>
    </row>
    <row r="815" spans="10:12">
      <c r="J815" s="138"/>
      <c r="L815" s="97"/>
    </row>
    <row r="816" spans="10:12">
      <c r="J816" s="138"/>
      <c r="L816" s="97"/>
    </row>
    <row r="817" spans="10:12">
      <c r="J817" s="138"/>
      <c r="L817" s="97"/>
    </row>
    <row r="818" spans="10:12">
      <c r="J818" s="138"/>
      <c r="L818" s="97"/>
    </row>
    <row r="819" spans="10:12">
      <c r="J819" s="138"/>
      <c r="L819" s="97"/>
    </row>
    <row r="820" spans="10:12">
      <c r="J820" s="138"/>
      <c r="L820" s="97"/>
    </row>
    <row r="821" spans="10:12">
      <c r="J821" s="138"/>
      <c r="L821" s="97"/>
    </row>
    <row r="822" spans="10:12">
      <c r="J822" s="138"/>
      <c r="L822" s="97"/>
    </row>
    <row r="823" spans="10:12">
      <c r="J823" s="138"/>
      <c r="L823" s="97"/>
    </row>
    <row r="824" spans="10:12">
      <c r="J824" s="138"/>
      <c r="L824" s="97"/>
    </row>
    <row r="825" spans="10:12">
      <c r="J825" s="138"/>
      <c r="L825" s="97"/>
    </row>
    <row r="826" spans="10:12">
      <c r="J826" s="138"/>
      <c r="L826" s="97"/>
    </row>
    <row r="827" spans="10:12">
      <c r="J827" s="138"/>
      <c r="L827" s="97"/>
    </row>
    <row r="828" spans="10:12">
      <c r="J828" s="138"/>
      <c r="L828" s="97"/>
    </row>
    <row r="829" spans="10:12">
      <c r="J829" s="138"/>
      <c r="L829" s="97"/>
    </row>
    <row r="830" spans="10:12">
      <c r="J830" s="138"/>
      <c r="L830" s="97"/>
    </row>
    <row r="831" spans="10:12">
      <c r="J831" s="138"/>
      <c r="L831" s="97"/>
    </row>
    <row r="832" spans="10:12">
      <c r="J832" s="138"/>
      <c r="L832" s="97"/>
    </row>
    <row r="833" spans="10:12">
      <c r="J833" s="138"/>
      <c r="L833" s="97"/>
    </row>
    <row r="834" spans="10:12">
      <c r="J834" s="138"/>
      <c r="L834" s="97"/>
    </row>
    <row r="835" spans="10:12">
      <c r="J835" s="138"/>
      <c r="L835" s="97"/>
    </row>
    <row r="836" spans="10:12">
      <c r="J836" s="138"/>
      <c r="L836" s="97"/>
    </row>
    <row r="837" spans="10:12">
      <c r="J837" s="138"/>
      <c r="L837" s="97"/>
    </row>
    <row r="838" spans="10:12">
      <c r="J838" s="138"/>
      <c r="L838" s="97"/>
    </row>
    <row r="839" spans="10:12">
      <c r="J839" s="138"/>
      <c r="L839" s="97"/>
    </row>
    <row r="840" spans="10:12">
      <c r="J840" s="138"/>
      <c r="L840" s="97"/>
    </row>
    <row r="841" spans="10:12">
      <c r="J841" s="138"/>
      <c r="L841" s="97"/>
    </row>
    <row r="842" spans="10:12">
      <c r="J842" s="138"/>
      <c r="L842" s="97"/>
    </row>
    <row r="843" spans="10:12">
      <c r="J843" s="138"/>
      <c r="L843" s="97"/>
    </row>
    <row r="844" spans="10:12">
      <c r="J844" s="138"/>
      <c r="L844" s="97"/>
    </row>
    <row r="845" spans="10:12">
      <c r="J845" s="138"/>
      <c r="L845" s="97"/>
    </row>
    <row r="846" spans="10:12">
      <c r="J846" s="138"/>
      <c r="L846" s="97"/>
    </row>
    <row r="847" spans="10:12">
      <c r="J847" s="138"/>
      <c r="L847" s="97"/>
    </row>
    <row r="848" spans="10:12">
      <c r="J848" s="138"/>
      <c r="L848" s="97"/>
    </row>
    <row r="849" spans="10:12">
      <c r="J849" s="138"/>
      <c r="L849" s="97"/>
    </row>
    <row r="850" spans="10:12">
      <c r="J850" s="138"/>
      <c r="L850" s="97"/>
    </row>
    <row r="851" spans="10:12">
      <c r="J851" s="138"/>
      <c r="L851" s="97"/>
    </row>
    <row r="852" spans="10:12">
      <c r="J852" s="138"/>
      <c r="L852" s="97"/>
    </row>
    <row r="853" spans="10:12">
      <c r="J853" s="138"/>
      <c r="L853" s="97"/>
    </row>
    <row r="854" spans="10:12">
      <c r="J854" s="138"/>
      <c r="L854" s="97"/>
    </row>
    <row r="855" spans="10:12">
      <c r="J855" s="138"/>
      <c r="L855" s="97"/>
    </row>
    <row r="856" spans="10:12">
      <c r="J856" s="138"/>
      <c r="L856" s="97"/>
    </row>
    <row r="857" spans="10:12">
      <c r="J857" s="138"/>
      <c r="L857" s="97"/>
    </row>
    <row r="858" spans="10:12">
      <c r="J858" s="138"/>
      <c r="L858" s="97"/>
    </row>
    <row r="859" spans="10:12">
      <c r="J859" s="138"/>
      <c r="L859" s="97"/>
    </row>
    <row r="860" spans="10:12">
      <c r="J860" s="138"/>
      <c r="L860" s="97"/>
    </row>
    <row r="861" spans="10:12">
      <c r="J861" s="138"/>
      <c r="L861" s="97"/>
    </row>
    <row r="862" spans="10:12">
      <c r="J862" s="138"/>
      <c r="L862" s="97"/>
    </row>
    <row r="863" spans="10:12">
      <c r="J863" s="138"/>
      <c r="L863" s="97"/>
    </row>
    <row r="864" spans="10:12">
      <c r="J864" s="138"/>
      <c r="L864" s="97"/>
    </row>
    <row r="865" spans="10:12">
      <c r="J865" s="138"/>
      <c r="L865" s="97"/>
    </row>
    <row r="866" spans="10:12">
      <c r="J866" s="138"/>
      <c r="L866" s="97"/>
    </row>
    <row r="867" spans="10:12">
      <c r="J867" s="138"/>
      <c r="L867" s="97"/>
    </row>
    <row r="868" spans="10:12">
      <c r="J868" s="138"/>
      <c r="L868" s="97"/>
    </row>
    <row r="869" spans="10:12">
      <c r="J869" s="138"/>
      <c r="L869" s="97"/>
    </row>
    <row r="870" spans="10:12">
      <c r="J870" s="138"/>
      <c r="L870" s="97"/>
    </row>
    <row r="871" spans="10:12">
      <c r="J871" s="138"/>
      <c r="L871" s="97"/>
    </row>
    <row r="872" spans="10:12">
      <c r="J872" s="138"/>
      <c r="L872" s="97"/>
    </row>
    <row r="873" spans="10:12">
      <c r="J873" s="138"/>
      <c r="L873" s="97"/>
    </row>
    <row r="874" spans="10:12">
      <c r="J874" s="138"/>
      <c r="L874" s="97"/>
    </row>
    <row r="875" spans="10:12">
      <c r="J875" s="138"/>
      <c r="L875" s="97"/>
    </row>
    <row r="876" spans="10:12">
      <c r="J876" s="138"/>
      <c r="L876" s="97"/>
    </row>
    <row r="877" spans="10:12">
      <c r="J877" s="138"/>
      <c r="L877" s="97"/>
    </row>
    <row r="878" spans="10:12">
      <c r="J878" s="138"/>
      <c r="L878" s="97"/>
    </row>
    <row r="879" spans="10:12">
      <c r="J879" s="138"/>
      <c r="L879" s="97"/>
    </row>
    <row r="880" spans="10:12">
      <c r="J880" s="138"/>
      <c r="L880" s="97"/>
    </row>
    <row r="881" spans="10:12">
      <c r="J881" s="138"/>
      <c r="L881" s="97"/>
    </row>
    <row r="882" spans="10:12">
      <c r="J882" s="138"/>
      <c r="L882" s="97"/>
    </row>
    <row r="883" spans="10:12">
      <c r="J883" s="138"/>
      <c r="L883" s="97"/>
    </row>
    <row r="884" spans="10:12">
      <c r="J884" s="138"/>
      <c r="L884" s="97"/>
    </row>
    <row r="885" spans="10:12">
      <c r="J885" s="138"/>
      <c r="L885" s="97"/>
    </row>
    <row r="886" spans="10:12">
      <c r="J886" s="138"/>
      <c r="L886" s="97"/>
    </row>
    <row r="887" spans="10:12">
      <c r="J887" s="138"/>
      <c r="L887" s="97"/>
    </row>
    <row r="888" spans="10:12">
      <c r="J888" s="138"/>
      <c r="L888" s="97"/>
    </row>
    <row r="889" spans="10:12">
      <c r="J889" s="138"/>
      <c r="L889" s="97"/>
    </row>
    <row r="890" spans="10:12">
      <c r="J890" s="138"/>
      <c r="L890" s="97"/>
    </row>
    <row r="891" spans="10:12">
      <c r="J891" s="138"/>
      <c r="L891" s="97"/>
    </row>
    <row r="892" spans="10:12">
      <c r="J892" s="138"/>
      <c r="L892" s="97"/>
    </row>
    <row r="893" spans="10:12">
      <c r="J893" s="138"/>
      <c r="L893" s="97"/>
    </row>
    <row r="894" spans="10:12">
      <c r="J894" s="138"/>
      <c r="L894" s="97"/>
    </row>
    <row r="895" spans="10:12">
      <c r="J895" s="138"/>
      <c r="L895" s="97"/>
    </row>
    <row r="896" spans="10:12">
      <c r="J896" s="138"/>
      <c r="L896" s="97"/>
    </row>
    <row r="897" spans="10:12">
      <c r="J897" s="138"/>
      <c r="L897" s="97"/>
    </row>
    <row r="898" spans="10:12">
      <c r="J898" s="138"/>
      <c r="L898" s="97"/>
    </row>
    <row r="899" spans="10:12">
      <c r="J899" s="138"/>
      <c r="L899" s="97"/>
    </row>
    <row r="900" spans="10:12">
      <c r="J900" s="138"/>
      <c r="L900" s="97"/>
    </row>
    <row r="901" spans="10:12">
      <c r="J901" s="138"/>
      <c r="L901" s="97"/>
    </row>
    <row r="902" spans="10:12">
      <c r="J902" s="138"/>
      <c r="L902" s="97"/>
    </row>
    <row r="903" spans="10:12">
      <c r="J903" s="138"/>
      <c r="L903" s="97"/>
    </row>
    <row r="904" spans="10:12">
      <c r="J904" s="138"/>
      <c r="L904" s="97"/>
    </row>
    <row r="905" spans="10:12">
      <c r="J905" s="138"/>
      <c r="L905" s="97"/>
    </row>
    <row r="906" spans="10:12">
      <c r="J906" s="138"/>
      <c r="L906" s="97"/>
    </row>
    <row r="907" spans="10:12">
      <c r="J907" s="138"/>
      <c r="L907" s="97"/>
    </row>
    <row r="908" spans="10:12">
      <c r="J908" s="138"/>
      <c r="L908" s="97"/>
    </row>
    <row r="909" spans="10:12">
      <c r="J909" s="138"/>
      <c r="L909" s="97"/>
    </row>
    <row r="910" spans="10:12">
      <c r="J910" s="138"/>
      <c r="L910" s="97"/>
    </row>
    <row r="911" spans="10:12">
      <c r="J911" s="138"/>
      <c r="L911" s="97"/>
    </row>
    <row r="912" spans="10:12">
      <c r="J912" s="138"/>
      <c r="L912" s="97"/>
    </row>
    <row r="913" spans="10:12">
      <c r="J913" s="138"/>
      <c r="L913" s="97"/>
    </row>
    <row r="914" spans="10:12">
      <c r="J914" s="138"/>
      <c r="L914" s="97"/>
    </row>
    <row r="915" spans="10:12">
      <c r="J915" s="138"/>
      <c r="L915" s="97"/>
    </row>
    <row r="916" spans="10:12">
      <c r="J916" s="138"/>
      <c r="L916" s="97"/>
    </row>
    <row r="917" spans="10:12">
      <c r="J917" s="138"/>
      <c r="L917" s="97"/>
    </row>
    <row r="918" spans="10:12">
      <c r="J918" s="138"/>
      <c r="L918" s="97"/>
    </row>
    <row r="919" spans="10:12">
      <c r="J919" s="138"/>
      <c r="L919" s="97"/>
    </row>
    <row r="920" spans="10:12">
      <c r="J920" s="138"/>
      <c r="L920" s="97"/>
    </row>
    <row r="921" spans="10:12">
      <c r="J921" s="138"/>
      <c r="L921" s="97"/>
    </row>
    <row r="922" spans="10:12">
      <c r="J922" s="138"/>
      <c r="L922" s="97"/>
    </row>
    <row r="923" spans="10:12">
      <c r="J923" s="138"/>
      <c r="L923" s="97"/>
    </row>
    <row r="924" spans="10:12">
      <c r="J924" s="138"/>
      <c r="L924" s="97"/>
    </row>
    <row r="925" spans="10:12">
      <c r="J925" s="138"/>
      <c r="L925" s="97"/>
    </row>
    <row r="926" spans="10:12">
      <c r="J926" s="138"/>
      <c r="L926" s="97"/>
    </row>
    <row r="927" spans="10:12">
      <c r="J927" s="138"/>
      <c r="L927" s="97"/>
    </row>
    <row r="928" spans="10:12">
      <c r="J928" s="138"/>
      <c r="L928" s="97"/>
    </row>
    <row r="929" spans="10:12">
      <c r="J929" s="138"/>
      <c r="L929" s="97"/>
    </row>
    <row r="930" spans="10:12">
      <c r="J930" s="138"/>
      <c r="L930" s="97"/>
    </row>
    <row r="931" spans="10:12">
      <c r="J931" s="138"/>
      <c r="L931" s="97"/>
    </row>
    <row r="932" spans="10:12">
      <c r="J932" s="138"/>
      <c r="L932" s="97"/>
    </row>
    <row r="933" spans="10:12">
      <c r="J933" s="138"/>
      <c r="L933" s="97"/>
    </row>
    <row r="934" spans="10:12">
      <c r="J934" s="138"/>
      <c r="L934" s="97"/>
    </row>
    <row r="935" spans="10:12">
      <c r="J935" s="138"/>
      <c r="L935" s="97"/>
    </row>
    <row r="936" spans="10:12">
      <c r="J936" s="138"/>
      <c r="L936" s="97"/>
    </row>
    <row r="937" spans="10:12">
      <c r="J937" s="138"/>
      <c r="L937" s="97"/>
    </row>
    <row r="938" spans="10:12">
      <c r="J938" s="138"/>
      <c r="L938" s="97"/>
    </row>
    <row r="939" spans="10:12">
      <c r="J939" s="138"/>
      <c r="L939" s="97"/>
    </row>
    <row r="940" spans="10:12">
      <c r="J940" s="138"/>
      <c r="L940" s="97"/>
    </row>
    <row r="941" spans="10:12">
      <c r="J941" s="138"/>
      <c r="L941" s="97"/>
    </row>
    <row r="942" spans="10:12">
      <c r="J942" s="138"/>
      <c r="L942" s="97"/>
    </row>
    <row r="943" spans="10:12">
      <c r="J943" s="138"/>
      <c r="L943" s="97"/>
    </row>
    <row r="944" spans="10:12">
      <c r="J944" s="138"/>
      <c r="L944" s="97"/>
    </row>
    <row r="945" spans="10:12">
      <c r="J945" s="138"/>
      <c r="L945" s="97"/>
    </row>
    <row r="946" spans="10:12">
      <c r="J946" s="138"/>
      <c r="L946" s="97"/>
    </row>
    <row r="947" spans="10:12">
      <c r="J947" s="138"/>
      <c r="L947" s="97"/>
    </row>
    <row r="948" spans="10:12">
      <c r="J948" s="138"/>
      <c r="L948" s="97"/>
    </row>
    <row r="949" spans="10:12">
      <c r="J949" s="138"/>
      <c r="L949" s="97"/>
    </row>
    <row r="950" spans="10:12">
      <c r="J950" s="138"/>
      <c r="L950" s="97"/>
    </row>
    <row r="951" spans="10:12">
      <c r="J951" s="138"/>
      <c r="L951" s="97"/>
    </row>
    <row r="952" spans="10:12">
      <c r="J952" s="138"/>
      <c r="L952" s="97"/>
    </row>
    <row r="953" spans="10:12">
      <c r="J953" s="138"/>
      <c r="L953" s="97"/>
    </row>
    <row r="954" spans="10:12">
      <c r="J954" s="138"/>
      <c r="L954" s="97"/>
    </row>
    <row r="955" spans="10:12">
      <c r="J955" s="138"/>
      <c r="L955" s="97"/>
    </row>
    <row r="956" spans="10:12">
      <c r="J956" s="138"/>
      <c r="L956" s="97"/>
    </row>
    <row r="957" spans="10:12">
      <c r="J957" s="138"/>
      <c r="L957" s="97"/>
    </row>
    <row r="958" spans="10:12">
      <c r="J958" s="138"/>
      <c r="L958" s="97"/>
    </row>
    <row r="959" spans="10:12">
      <c r="J959" s="138"/>
      <c r="L959" s="97"/>
    </row>
    <row r="960" spans="10:12">
      <c r="J960" s="138"/>
      <c r="L960" s="97"/>
    </row>
    <row r="961" spans="10:12">
      <c r="J961" s="138"/>
      <c r="L961" s="97"/>
    </row>
    <row r="962" spans="10:12">
      <c r="J962" s="138"/>
      <c r="L962" s="97"/>
    </row>
    <row r="963" spans="10:12">
      <c r="J963" s="138"/>
      <c r="L963" s="97"/>
    </row>
    <row r="964" spans="10:12">
      <c r="J964" s="138"/>
      <c r="L964" s="97"/>
    </row>
    <row r="965" spans="10:12">
      <c r="J965" s="138"/>
      <c r="L965" s="97"/>
    </row>
    <row r="966" spans="10:12">
      <c r="J966" s="138"/>
      <c r="L966" s="97"/>
    </row>
    <row r="967" spans="10:12">
      <c r="J967" s="138"/>
      <c r="L967" s="97"/>
    </row>
    <row r="968" spans="10:12">
      <c r="J968" s="138"/>
      <c r="L968" s="97"/>
    </row>
    <row r="969" spans="10:12">
      <c r="J969" s="138"/>
      <c r="L969" s="97"/>
    </row>
    <row r="970" spans="10:12">
      <c r="J970" s="138"/>
      <c r="L970" s="97"/>
    </row>
    <row r="971" spans="10:12">
      <c r="J971" s="138"/>
      <c r="L971" s="97"/>
    </row>
    <row r="972" spans="10:12">
      <c r="J972" s="138"/>
      <c r="L972" s="97"/>
    </row>
    <row r="973" spans="10:12">
      <c r="J973" s="138"/>
      <c r="L973" s="97"/>
    </row>
    <row r="974" spans="10:12">
      <c r="J974" s="138"/>
      <c r="L974" s="97"/>
    </row>
    <row r="975" spans="10:12">
      <c r="J975" s="138"/>
      <c r="L975" s="97"/>
    </row>
    <row r="976" spans="10:12">
      <c r="J976" s="138"/>
      <c r="L976" s="97"/>
    </row>
    <row r="977" spans="10:12">
      <c r="J977" s="138"/>
      <c r="L977" s="97"/>
    </row>
    <row r="978" spans="10:12">
      <c r="J978" s="138"/>
      <c r="L978" s="97"/>
    </row>
    <row r="979" spans="10:12">
      <c r="J979" s="138"/>
      <c r="L979" s="97"/>
    </row>
    <row r="980" spans="10:12">
      <c r="J980" s="138"/>
      <c r="L980" s="97"/>
    </row>
    <row r="981" spans="10:12">
      <c r="J981" s="138"/>
      <c r="L981" s="97"/>
    </row>
    <row r="982" spans="10:12">
      <c r="J982" s="138"/>
      <c r="L982" s="97"/>
    </row>
    <row r="983" spans="10:12">
      <c r="J983" s="138"/>
      <c r="L983" s="97"/>
    </row>
    <row r="984" spans="10:12">
      <c r="J984" s="138"/>
      <c r="L984" s="97"/>
    </row>
    <row r="985" spans="10:12">
      <c r="J985" s="138"/>
      <c r="L985" s="97"/>
    </row>
    <row r="986" spans="10:12">
      <c r="J986" s="138"/>
      <c r="L986" s="97"/>
    </row>
    <row r="987" spans="10:12">
      <c r="J987" s="138"/>
      <c r="L987" s="97"/>
    </row>
    <row r="988" spans="10:12">
      <c r="J988" s="138"/>
      <c r="L988" s="97"/>
    </row>
    <row r="989" spans="10:12">
      <c r="J989" s="138"/>
      <c r="L989" s="97"/>
    </row>
    <row r="990" spans="10:12">
      <c r="J990" s="138"/>
      <c r="L990" s="97"/>
    </row>
    <row r="991" spans="10:12">
      <c r="J991" s="138"/>
      <c r="L991" s="97"/>
    </row>
    <row r="992" spans="10:12">
      <c r="J992" s="138"/>
      <c r="L992" s="97"/>
    </row>
    <row r="993" spans="10:12">
      <c r="J993" s="138"/>
      <c r="L993" s="97"/>
    </row>
    <row r="994" spans="10:12">
      <c r="J994" s="138"/>
      <c r="L994" s="97"/>
    </row>
    <row r="995" spans="10:12">
      <c r="J995" s="138"/>
      <c r="L995" s="97"/>
    </row>
    <row r="996" spans="10:12">
      <c r="J996" s="138"/>
      <c r="L996" s="97"/>
    </row>
    <row r="997" spans="10:12">
      <c r="J997" s="138"/>
      <c r="L997" s="97"/>
    </row>
    <row r="998" spans="10:12">
      <c r="J998" s="138"/>
      <c r="L998" s="97"/>
    </row>
    <row r="999" spans="10:12">
      <c r="J999" s="138"/>
      <c r="L999" s="97"/>
    </row>
    <row r="1000" spans="10:12">
      <c r="J1000" s="138"/>
      <c r="L1000" s="97"/>
    </row>
    <row r="1001" spans="10:12">
      <c r="J1001" s="138"/>
      <c r="L1001" s="97"/>
    </row>
    <row r="1002" spans="10:12">
      <c r="J1002" s="138"/>
      <c r="L1002" s="97"/>
    </row>
    <row r="1003" spans="10:12">
      <c r="J1003" s="138"/>
      <c r="L1003" s="97"/>
    </row>
    <row r="1004" spans="10:12">
      <c r="J1004" s="138"/>
      <c r="L1004" s="97"/>
    </row>
    <row r="1005" spans="10:12">
      <c r="J1005" s="138"/>
      <c r="L1005" s="97"/>
    </row>
    <row r="1006" spans="10:12">
      <c r="J1006" s="138"/>
      <c r="L1006" s="97"/>
    </row>
    <row r="1007" spans="10:12">
      <c r="J1007" s="138"/>
      <c r="L1007" s="97"/>
    </row>
    <row r="1008" spans="10:12">
      <c r="J1008" s="138"/>
      <c r="L1008" s="97"/>
    </row>
    <row r="1009" spans="10:12">
      <c r="J1009" s="138"/>
      <c r="L1009" s="97"/>
    </row>
    <row r="1010" spans="10:12">
      <c r="J1010" s="138"/>
      <c r="L1010" s="97"/>
    </row>
    <row r="1011" spans="10:12">
      <c r="J1011" s="138"/>
      <c r="L1011" s="97"/>
    </row>
    <row r="1012" spans="10:12">
      <c r="J1012" s="138"/>
      <c r="L1012" s="97"/>
    </row>
    <row r="1013" spans="10:12">
      <c r="J1013" s="138"/>
      <c r="L1013" s="97"/>
    </row>
    <row r="1014" spans="10:12">
      <c r="J1014" s="138"/>
      <c r="L1014" s="97"/>
    </row>
    <row r="1015" spans="10:12">
      <c r="J1015" s="138"/>
      <c r="L1015" s="97"/>
    </row>
    <row r="1016" spans="10:12">
      <c r="J1016" s="138"/>
      <c r="L1016" s="97"/>
    </row>
    <row r="1017" spans="10:12">
      <c r="J1017" s="138"/>
      <c r="L1017" s="97"/>
    </row>
    <row r="1018" spans="10:12">
      <c r="J1018" s="138"/>
      <c r="L1018" s="97"/>
    </row>
    <row r="1019" spans="10:12">
      <c r="J1019" s="138"/>
      <c r="L1019" s="97"/>
    </row>
    <row r="1020" spans="10:12">
      <c r="J1020" s="138"/>
      <c r="L1020" s="97"/>
    </row>
    <row r="1021" spans="10:12">
      <c r="J1021" s="138"/>
      <c r="L1021" s="97"/>
    </row>
    <row r="1022" spans="10:12">
      <c r="J1022" s="138"/>
      <c r="L1022" s="97"/>
    </row>
    <row r="1023" spans="10:12">
      <c r="J1023" s="138"/>
      <c r="L1023" s="97"/>
    </row>
    <row r="1024" spans="10:12">
      <c r="J1024" s="138"/>
      <c r="L1024" s="97"/>
    </row>
    <row r="1025" spans="10:12">
      <c r="J1025" s="138"/>
      <c r="L1025" s="97"/>
    </row>
    <row r="1026" spans="10:12">
      <c r="J1026" s="138"/>
      <c r="L1026" s="97"/>
    </row>
    <row r="1027" spans="10:12">
      <c r="J1027" s="138"/>
      <c r="L1027" s="97"/>
    </row>
    <row r="1028" spans="10:12">
      <c r="J1028" s="138"/>
      <c r="L1028" s="97"/>
    </row>
    <row r="1029" spans="10:12">
      <c r="J1029" s="138"/>
      <c r="L1029" s="97"/>
    </row>
    <row r="1030" spans="10:12">
      <c r="J1030" s="138"/>
      <c r="L1030" s="97"/>
    </row>
    <row r="1031" spans="10:12">
      <c r="J1031" s="138"/>
      <c r="L1031" s="97"/>
    </row>
    <row r="1032" spans="10:12">
      <c r="J1032" s="138"/>
      <c r="L1032" s="97"/>
    </row>
    <row r="1033" spans="10:12">
      <c r="J1033" s="138"/>
      <c r="L1033" s="97"/>
    </row>
    <row r="1034" spans="10:12">
      <c r="J1034" s="138"/>
      <c r="L1034" s="97"/>
    </row>
    <row r="1035" spans="10:12">
      <c r="J1035" s="138"/>
      <c r="L1035" s="97"/>
    </row>
    <row r="1036" spans="10:12">
      <c r="J1036" s="138"/>
      <c r="L1036" s="97"/>
    </row>
    <row r="1037" spans="10:12">
      <c r="J1037" s="138"/>
      <c r="L1037" s="97"/>
    </row>
    <row r="1038" spans="10:12">
      <c r="J1038" s="138"/>
      <c r="L1038" s="97"/>
    </row>
    <row r="1039" spans="10:12">
      <c r="J1039" s="138"/>
      <c r="L1039" s="97"/>
    </row>
    <row r="1040" spans="10:12">
      <c r="J1040" s="138"/>
      <c r="L1040" s="97"/>
    </row>
    <row r="1041" spans="10:12">
      <c r="J1041" s="138"/>
      <c r="L1041" s="97"/>
    </row>
    <row r="1042" spans="10:12">
      <c r="J1042" s="138"/>
      <c r="L1042" s="97"/>
    </row>
    <row r="1043" spans="10:12">
      <c r="J1043" s="138"/>
      <c r="L1043" s="97"/>
    </row>
    <row r="1044" spans="10:12">
      <c r="J1044" s="138"/>
      <c r="L1044" s="97"/>
    </row>
    <row r="1045" spans="10:12">
      <c r="J1045" s="138"/>
      <c r="L1045" s="97"/>
    </row>
    <row r="1046" spans="10:12">
      <c r="J1046" s="138"/>
      <c r="L1046" s="97"/>
    </row>
    <row r="1047" spans="10:12">
      <c r="J1047" s="138"/>
      <c r="L1047" s="97"/>
    </row>
    <row r="1048" spans="10:12">
      <c r="J1048" s="138"/>
      <c r="L1048" s="97"/>
    </row>
    <row r="1049" spans="10:12">
      <c r="J1049" s="138"/>
      <c r="L1049" s="97"/>
    </row>
    <row r="1050" spans="10:12">
      <c r="J1050" s="138"/>
      <c r="L1050" s="97"/>
    </row>
    <row r="1051" spans="10:12">
      <c r="J1051" s="138"/>
      <c r="L1051" s="97"/>
    </row>
    <row r="1052" spans="10:12">
      <c r="J1052" s="138"/>
      <c r="L1052" s="97"/>
    </row>
    <row r="1053" spans="10:12">
      <c r="J1053" s="138"/>
      <c r="L1053" s="97"/>
    </row>
    <row r="1054" spans="10:12">
      <c r="J1054" s="138"/>
      <c r="L1054" s="97"/>
    </row>
    <row r="1055" spans="10:12">
      <c r="J1055" s="138"/>
      <c r="L1055" s="97"/>
    </row>
    <row r="1056" spans="10:12">
      <c r="J1056" s="138"/>
      <c r="L1056" s="97"/>
    </row>
    <row r="1057" spans="10:12">
      <c r="J1057" s="138"/>
      <c r="L1057" s="97"/>
    </row>
    <row r="1058" spans="10:12">
      <c r="J1058" s="138"/>
      <c r="L1058" s="97"/>
    </row>
    <row r="1059" spans="10:12">
      <c r="J1059" s="138"/>
      <c r="L1059" s="97"/>
    </row>
    <row r="1060" spans="10:12">
      <c r="J1060" s="138"/>
      <c r="L1060" s="97"/>
    </row>
    <row r="1061" spans="10:12">
      <c r="J1061" s="138"/>
      <c r="L1061" s="97"/>
    </row>
    <row r="1062" spans="10:12">
      <c r="J1062" s="138"/>
      <c r="L1062" s="97"/>
    </row>
    <row r="1063" spans="10:12">
      <c r="J1063" s="138"/>
      <c r="L1063" s="97"/>
    </row>
    <row r="1064" spans="10:12">
      <c r="J1064" s="138"/>
      <c r="L1064" s="97"/>
    </row>
    <row r="1065" spans="10:12">
      <c r="J1065" s="138"/>
      <c r="L1065" s="97"/>
    </row>
    <row r="1066" spans="10:12">
      <c r="J1066" s="138"/>
      <c r="L1066" s="97"/>
    </row>
    <row r="1067" spans="10:12">
      <c r="J1067" s="138"/>
      <c r="L1067" s="97"/>
    </row>
    <row r="1068" spans="10:12">
      <c r="J1068" s="138"/>
      <c r="L1068" s="97"/>
    </row>
    <row r="1069" spans="10:12">
      <c r="J1069" s="138"/>
      <c r="L1069" s="97"/>
    </row>
    <row r="1070" spans="10:12">
      <c r="J1070" s="138"/>
      <c r="L1070" s="97"/>
    </row>
    <row r="1071" spans="10:12">
      <c r="J1071" s="138"/>
      <c r="L1071" s="97"/>
    </row>
    <row r="1072" spans="10:12">
      <c r="J1072" s="138"/>
      <c r="L1072" s="97"/>
    </row>
    <row r="1073" spans="10:12">
      <c r="J1073" s="138"/>
      <c r="L1073" s="97"/>
    </row>
    <row r="1074" spans="10:12">
      <c r="J1074" s="138"/>
      <c r="L1074" s="97"/>
    </row>
    <row r="1075" spans="10:12">
      <c r="J1075" s="138"/>
      <c r="L1075" s="97"/>
    </row>
    <row r="1076" spans="10:12">
      <c r="J1076" s="138"/>
      <c r="L1076" s="97"/>
    </row>
    <row r="1077" spans="10:12">
      <c r="J1077" s="138"/>
      <c r="L1077" s="97"/>
    </row>
    <row r="1078" spans="10:12">
      <c r="J1078" s="138"/>
      <c r="L1078" s="97"/>
    </row>
    <row r="1079" spans="10:12">
      <c r="J1079" s="138"/>
      <c r="L1079" s="97"/>
    </row>
    <row r="1080" spans="10:12">
      <c r="J1080" s="138"/>
      <c r="L1080" s="97"/>
    </row>
    <row r="1081" spans="10:12">
      <c r="J1081" s="138"/>
      <c r="L1081" s="97"/>
    </row>
    <row r="1082" spans="10:12">
      <c r="J1082" s="138"/>
      <c r="L1082" s="97"/>
    </row>
    <row r="1083" spans="10:12">
      <c r="J1083" s="138"/>
      <c r="L1083" s="97"/>
    </row>
    <row r="1084" spans="10:12">
      <c r="J1084" s="138"/>
      <c r="L1084" s="97"/>
    </row>
    <row r="1085" spans="10:12">
      <c r="J1085" s="138"/>
      <c r="L1085" s="97"/>
    </row>
    <row r="1086" spans="10:12">
      <c r="J1086" s="138"/>
      <c r="L1086" s="97"/>
    </row>
    <row r="1087" spans="10:12">
      <c r="J1087" s="138"/>
      <c r="L1087" s="97"/>
    </row>
    <row r="1088" spans="10:12">
      <c r="J1088" s="138"/>
      <c r="L1088" s="97"/>
    </row>
    <row r="1089" spans="10:12">
      <c r="J1089" s="138"/>
      <c r="L1089" s="97"/>
    </row>
    <row r="1090" spans="10:12">
      <c r="J1090" s="138"/>
      <c r="L1090" s="97"/>
    </row>
    <row r="1091" spans="10:12">
      <c r="J1091" s="138"/>
      <c r="L1091" s="97"/>
    </row>
    <row r="1092" spans="10:12">
      <c r="J1092" s="138"/>
      <c r="L1092" s="97"/>
    </row>
    <row r="1093" spans="10:12">
      <c r="J1093" s="138"/>
      <c r="L1093" s="97"/>
    </row>
    <row r="1094" spans="10:12">
      <c r="J1094" s="138"/>
      <c r="L1094" s="97"/>
    </row>
    <row r="1095" spans="10:12">
      <c r="J1095" s="138"/>
      <c r="L1095" s="97"/>
    </row>
    <row r="1096" spans="10:12">
      <c r="J1096" s="138"/>
      <c r="L1096" s="97"/>
    </row>
    <row r="1097" spans="10:12">
      <c r="J1097" s="138"/>
      <c r="L1097" s="97"/>
    </row>
    <row r="1098" spans="10:12">
      <c r="J1098" s="138"/>
      <c r="L1098" s="97"/>
    </row>
    <row r="1099" spans="10:12">
      <c r="J1099" s="138"/>
      <c r="L1099" s="97"/>
    </row>
    <row r="1100" spans="10:12">
      <c r="J1100" s="138"/>
      <c r="L1100" s="97"/>
    </row>
    <row r="1101" spans="10:12">
      <c r="J1101" s="138"/>
      <c r="L1101" s="97"/>
    </row>
    <row r="1102" spans="10:12">
      <c r="J1102" s="138"/>
      <c r="L1102" s="97"/>
    </row>
    <row r="1103" spans="10:12">
      <c r="J1103" s="138"/>
      <c r="L1103" s="97"/>
    </row>
    <row r="1104" spans="10:12">
      <c r="J1104" s="138"/>
      <c r="L1104" s="97"/>
    </row>
    <row r="1105" spans="10:12">
      <c r="J1105" s="138"/>
      <c r="L1105" s="97"/>
    </row>
    <row r="1106" spans="10:12">
      <c r="J1106" s="138"/>
      <c r="L1106" s="97"/>
    </row>
    <row r="1107" spans="10:12">
      <c r="J1107" s="138"/>
      <c r="L1107" s="97"/>
    </row>
    <row r="1108" spans="10:12">
      <c r="J1108" s="138"/>
      <c r="L1108" s="97"/>
    </row>
    <row r="1109" spans="10:12">
      <c r="J1109" s="138"/>
      <c r="L1109" s="97"/>
    </row>
    <row r="1110" spans="10:12">
      <c r="J1110" s="138"/>
      <c r="L1110" s="97"/>
    </row>
    <row r="1111" spans="10:12">
      <c r="J1111" s="138"/>
      <c r="L1111" s="97"/>
    </row>
    <row r="1112" spans="10:12">
      <c r="J1112" s="138"/>
      <c r="L1112" s="97"/>
    </row>
    <row r="1113" spans="10:12">
      <c r="J1113" s="138"/>
      <c r="L1113" s="97"/>
    </row>
    <row r="1114" spans="10:12">
      <c r="J1114" s="138"/>
      <c r="L1114" s="97"/>
    </row>
    <row r="1115" spans="10:12">
      <c r="J1115" s="138"/>
      <c r="L1115" s="97"/>
    </row>
    <row r="1116" spans="10:12">
      <c r="J1116" s="138"/>
      <c r="L1116" s="97"/>
    </row>
    <row r="1117" spans="10:12">
      <c r="J1117" s="138"/>
      <c r="L1117" s="97"/>
    </row>
    <row r="1118" spans="10:12">
      <c r="J1118" s="138"/>
      <c r="L1118" s="97"/>
    </row>
    <row r="1119" spans="10:12">
      <c r="J1119" s="138"/>
      <c r="L1119" s="97"/>
    </row>
    <row r="1120" spans="10:12">
      <c r="J1120" s="138"/>
      <c r="L1120" s="97"/>
    </row>
    <row r="1121" spans="10:12">
      <c r="J1121" s="138"/>
      <c r="L1121" s="97"/>
    </row>
    <row r="1122" spans="10:12">
      <c r="J1122" s="138"/>
      <c r="L1122" s="97"/>
    </row>
    <row r="1123" spans="10:12">
      <c r="J1123" s="138"/>
      <c r="L1123" s="97"/>
    </row>
    <row r="1124" spans="10:12">
      <c r="J1124" s="138"/>
      <c r="L1124" s="97"/>
    </row>
    <row r="1125" spans="10:12">
      <c r="J1125" s="138"/>
      <c r="L1125" s="97"/>
    </row>
    <row r="1126" spans="10:12">
      <c r="J1126" s="138"/>
      <c r="L1126" s="97"/>
    </row>
    <row r="1127" spans="10:12">
      <c r="J1127" s="138"/>
      <c r="L1127" s="97"/>
    </row>
    <row r="1128" spans="10:12">
      <c r="J1128" s="138"/>
      <c r="L1128" s="97"/>
    </row>
    <row r="1129" spans="10:12">
      <c r="J1129" s="138"/>
      <c r="L1129" s="97"/>
    </row>
    <row r="1130" spans="10:12">
      <c r="J1130" s="138"/>
      <c r="L1130" s="97"/>
    </row>
    <row r="1131" spans="10:12">
      <c r="J1131" s="138"/>
      <c r="L1131" s="97"/>
    </row>
    <row r="1132" spans="10:12">
      <c r="J1132" s="138"/>
      <c r="L1132" s="97"/>
    </row>
    <row r="1133" spans="10:12">
      <c r="J1133" s="138"/>
      <c r="L1133" s="97"/>
    </row>
    <row r="1134" spans="10:12">
      <c r="J1134" s="138"/>
      <c r="L1134" s="97"/>
    </row>
    <row r="1135" spans="10:12">
      <c r="J1135" s="138"/>
      <c r="L1135" s="97"/>
    </row>
    <row r="1136" spans="10:12">
      <c r="J1136" s="138"/>
      <c r="L1136" s="97"/>
    </row>
    <row r="1137" spans="10:12">
      <c r="J1137" s="138"/>
      <c r="L1137" s="97"/>
    </row>
    <row r="1138" spans="10:12">
      <c r="J1138" s="138"/>
      <c r="L1138" s="97"/>
    </row>
    <row r="1139" spans="10:12">
      <c r="J1139" s="138"/>
      <c r="L1139" s="97"/>
    </row>
    <row r="1140" spans="10:12">
      <c r="J1140" s="138"/>
      <c r="L1140" s="97"/>
    </row>
    <row r="1141" spans="10:12">
      <c r="J1141" s="138"/>
      <c r="L1141" s="97"/>
    </row>
    <row r="1142" spans="10:12">
      <c r="J1142" s="138"/>
      <c r="L1142" s="97"/>
    </row>
    <row r="1143" spans="10:12">
      <c r="J1143" s="138"/>
      <c r="L1143" s="97"/>
    </row>
    <row r="1144" spans="10:12">
      <c r="J1144" s="138"/>
      <c r="L1144" s="97"/>
    </row>
    <row r="1145" spans="10:12">
      <c r="J1145" s="138"/>
      <c r="L1145" s="97"/>
    </row>
    <row r="1146" spans="10:12">
      <c r="J1146" s="138"/>
      <c r="L1146" s="97"/>
    </row>
    <row r="1147" spans="10:12">
      <c r="J1147" s="138"/>
      <c r="L1147" s="97"/>
    </row>
    <row r="1148" spans="10:12">
      <c r="J1148" s="138"/>
      <c r="L1148" s="97"/>
    </row>
    <row r="1149" spans="10:12">
      <c r="J1149" s="138"/>
      <c r="L1149" s="97"/>
    </row>
    <row r="1150" spans="10:12">
      <c r="J1150" s="138"/>
      <c r="L1150" s="97"/>
    </row>
    <row r="1151" spans="10:12">
      <c r="J1151" s="138"/>
      <c r="L1151" s="97"/>
    </row>
    <row r="1152" spans="10:12">
      <c r="J1152" s="138"/>
      <c r="L1152" s="97"/>
    </row>
    <row r="1153" spans="10:12">
      <c r="J1153" s="138"/>
      <c r="L1153" s="97"/>
    </row>
    <row r="1154" spans="10:12">
      <c r="J1154" s="138"/>
      <c r="L1154" s="97"/>
    </row>
    <row r="1155" spans="10:12">
      <c r="J1155" s="138"/>
      <c r="L1155" s="97"/>
    </row>
    <row r="1156" spans="10:12">
      <c r="J1156" s="138"/>
      <c r="L1156" s="97"/>
    </row>
    <row r="1157" spans="10:12">
      <c r="J1157" s="138"/>
      <c r="L1157" s="97"/>
    </row>
    <row r="1158" spans="10:12">
      <c r="J1158" s="138"/>
      <c r="L1158" s="97"/>
    </row>
    <row r="1159" spans="10:12">
      <c r="J1159" s="138"/>
      <c r="L1159" s="97"/>
    </row>
    <row r="1160" spans="10:12">
      <c r="J1160" s="138"/>
      <c r="L1160" s="97"/>
    </row>
    <row r="1161" spans="10:12">
      <c r="J1161" s="138"/>
      <c r="L1161" s="97"/>
    </row>
    <row r="1162" spans="10:12">
      <c r="J1162" s="138"/>
      <c r="L1162" s="97"/>
    </row>
    <row r="1163" spans="10:12">
      <c r="J1163" s="138"/>
      <c r="L1163" s="97"/>
    </row>
    <row r="1164" spans="10:12">
      <c r="J1164" s="138"/>
      <c r="L1164" s="97"/>
    </row>
    <row r="1165" spans="10:12">
      <c r="J1165" s="138"/>
      <c r="L1165" s="97"/>
    </row>
    <row r="1166" spans="10:12">
      <c r="J1166" s="138"/>
      <c r="L1166" s="97"/>
    </row>
    <row r="1167" spans="10:12">
      <c r="J1167" s="138"/>
      <c r="L1167" s="97"/>
    </row>
    <row r="1168" spans="10:12">
      <c r="J1168" s="138"/>
      <c r="L1168" s="97"/>
    </row>
    <row r="1169" spans="10:12">
      <c r="J1169" s="138"/>
      <c r="L1169" s="97"/>
    </row>
    <row r="1170" spans="10:12">
      <c r="J1170" s="138"/>
      <c r="L1170" s="97"/>
    </row>
    <row r="1171" spans="10:12">
      <c r="J1171" s="138"/>
      <c r="L1171" s="97"/>
    </row>
    <row r="1172" spans="10:12">
      <c r="J1172" s="138"/>
      <c r="L1172" s="97"/>
    </row>
    <row r="1173" spans="10:12">
      <c r="J1173" s="138"/>
      <c r="L1173" s="97"/>
    </row>
    <row r="1174" spans="10:12">
      <c r="J1174" s="138"/>
      <c r="L1174" s="97"/>
    </row>
    <row r="1175" spans="10:12">
      <c r="J1175" s="138"/>
      <c r="L1175" s="97"/>
    </row>
    <row r="1176" spans="10:12">
      <c r="J1176" s="138"/>
      <c r="L1176" s="97"/>
    </row>
    <row r="1177" spans="10:12">
      <c r="J1177" s="138"/>
      <c r="L1177" s="97"/>
    </row>
    <row r="1178" spans="10:12">
      <c r="J1178" s="138"/>
      <c r="L1178" s="97"/>
    </row>
    <row r="1179" spans="10:12">
      <c r="J1179" s="138"/>
      <c r="L1179" s="97"/>
    </row>
    <row r="1180" spans="10:12">
      <c r="J1180" s="138"/>
      <c r="L1180" s="97"/>
    </row>
    <row r="1181" spans="10:12">
      <c r="J1181" s="138"/>
      <c r="L1181" s="97"/>
    </row>
    <row r="1182" spans="10:12">
      <c r="J1182" s="138"/>
      <c r="L1182" s="97"/>
    </row>
    <row r="1183" spans="10:12">
      <c r="J1183" s="138"/>
      <c r="L1183" s="97"/>
    </row>
    <row r="1184" spans="10:12">
      <c r="J1184" s="138"/>
      <c r="L1184" s="97"/>
    </row>
    <row r="1185" spans="10:12">
      <c r="J1185" s="138"/>
      <c r="L1185" s="97"/>
    </row>
    <row r="1186" spans="10:12">
      <c r="J1186" s="138"/>
      <c r="L1186" s="97"/>
    </row>
    <row r="1187" spans="10:12">
      <c r="J1187" s="138"/>
      <c r="L1187" s="97"/>
    </row>
    <row r="1188" spans="10:12">
      <c r="J1188" s="138"/>
      <c r="L1188" s="97"/>
    </row>
    <row r="1189" spans="10:12">
      <c r="J1189" s="138"/>
      <c r="L1189" s="97"/>
    </row>
    <row r="1190" spans="10:12">
      <c r="J1190" s="138"/>
      <c r="L1190" s="97"/>
    </row>
    <row r="1191" spans="10:12">
      <c r="J1191" s="138"/>
      <c r="L1191" s="97"/>
    </row>
    <row r="1192" spans="10:12">
      <c r="J1192" s="138"/>
      <c r="L1192" s="97"/>
    </row>
    <row r="1193" spans="10:12">
      <c r="J1193" s="138"/>
      <c r="L1193" s="97"/>
    </row>
    <row r="1194" spans="10:12">
      <c r="J1194" s="138"/>
      <c r="L1194" s="97"/>
    </row>
    <row r="1195" spans="10:12">
      <c r="J1195" s="138"/>
      <c r="L1195" s="97"/>
    </row>
    <row r="1196" spans="10:12">
      <c r="J1196" s="138"/>
      <c r="L1196" s="97"/>
    </row>
    <row r="1197" spans="10:12">
      <c r="J1197" s="138"/>
      <c r="L1197" s="97"/>
    </row>
    <row r="1198" spans="10:12">
      <c r="J1198" s="138"/>
      <c r="L1198" s="97"/>
    </row>
    <row r="1199" spans="10:12">
      <c r="J1199" s="138"/>
      <c r="L1199" s="97"/>
    </row>
    <row r="1200" spans="10:12">
      <c r="J1200" s="138"/>
      <c r="L1200" s="97"/>
    </row>
    <row r="1201" spans="10:12">
      <c r="J1201" s="138"/>
      <c r="L1201" s="97"/>
    </row>
    <row r="1202" spans="10:12">
      <c r="J1202" s="138"/>
      <c r="L1202" s="97"/>
    </row>
    <row r="1203" spans="10:12">
      <c r="J1203" s="138"/>
      <c r="L1203" s="97"/>
    </row>
    <row r="1204" spans="10:12">
      <c r="J1204" s="138"/>
      <c r="L1204" s="97"/>
    </row>
    <row r="1205" spans="10:12">
      <c r="J1205" s="138"/>
      <c r="L1205" s="97"/>
    </row>
    <row r="1206" spans="10:12">
      <c r="J1206" s="138"/>
      <c r="L1206" s="97"/>
    </row>
    <row r="1207" spans="10:12">
      <c r="J1207" s="138"/>
      <c r="L1207" s="97"/>
    </row>
    <row r="1208" spans="10:12">
      <c r="J1208" s="138"/>
      <c r="L1208" s="97"/>
    </row>
    <row r="1209" spans="10:12">
      <c r="J1209" s="138"/>
      <c r="L1209" s="97"/>
    </row>
    <row r="1210" spans="10:12">
      <c r="J1210" s="138"/>
      <c r="L1210" s="97"/>
    </row>
    <row r="1211" spans="10:12">
      <c r="J1211" s="138"/>
      <c r="L1211" s="97"/>
    </row>
    <row r="1212" spans="10:12">
      <c r="J1212" s="138"/>
      <c r="L1212" s="97"/>
    </row>
    <row r="1213" spans="10:12">
      <c r="J1213" s="138"/>
      <c r="L1213" s="97"/>
    </row>
    <row r="1214" spans="10:12">
      <c r="J1214" s="138"/>
      <c r="L1214" s="97"/>
    </row>
    <row r="1215" spans="10:12">
      <c r="J1215" s="138"/>
      <c r="L1215" s="97"/>
    </row>
    <row r="1216" spans="10:12">
      <c r="J1216" s="138"/>
      <c r="L1216" s="97"/>
    </row>
    <row r="1217" spans="10:12">
      <c r="J1217" s="138"/>
      <c r="L1217" s="97"/>
    </row>
    <row r="1218" spans="10:12">
      <c r="J1218" s="138"/>
      <c r="L1218" s="97"/>
    </row>
    <row r="1219" spans="10:12">
      <c r="J1219" s="138"/>
      <c r="L1219" s="97"/>
    </row>
    <row r="1220" spans="10:12">
      <c r="J1220" s="138"/>
      <c r="L1220" s="97"/>
    </row>
    <row r="1221" spans="10:12">
      <c r="J1221" s="138"/>
      <c r="L1221" s="97"/>
    </row>
    <row r="1222" spans="10:12">
      <c r="J1222" s="138"/>
      <c r="L1222" s="97"/>
    </row>
    <row r="1223" spans="10:12">
      <c r="J1223" s="138"/>
      <c r="L1223" s="97"/>
    </row>
    <row r="1224" spans="10:12">
      <c r="J1224" s="138"/>
      <c r="L1224" s="97"/>
    </row>
    <row r="1225" spans="10:12">
      <c r="J1225" s="138"/>
      <c r="L1225" s="97"/>
    </row>
    <row r="1226" spans="10:12">
      <c r="J1226" s="138"/>
      <c r="L1226" s="97"/>
    </row>
    <row r="1227" spans="10:12">
      <c r="J1227" s="138"/>
      <c r="L1227" s="97"/>
    </row>
    <row r="1228" spans="10:12">
      <c r="J1228" s="138"/>
      <c r="L1228" s="97"/>
    </row>
    <row r="1229" spans="10:12">
      <c r="J1229" s="138"/>
      <c r="L1229" s="97"/>
    </row>
    <row r="1230" spans="10:12">
      <c r="J1230" s="138"/>
      <c r="L1230" s="97"/>
    </row>
    <row r="1231" spans="10:12">
      <c r="J1231" s="138"/>
      <c r="L1231" s="97"/>
    </row>
    <row r="1232" spans="10:12">
      <c r="J1232" s="138"/>
      <c r="L1232" s="97"/>
    </row>
    <row r="1233" spans="10:12">
      <c r="J1233" s="138"/>
      <c r="L1233" s="97"/>
    </row>
    <row r="1234" spans="10:12">
      <c r="J1234" s="138"/>
      <c r="L1234" s="97"/>
    </row>
    <row r="1235" spans="10:12">
      <c r="J1235" s="138"/>
      <c r="L1235" s="97"/>
    </row>
    <row r="1236" spans="10:12">
      <c r="J1236" s="138"/>
      <c r="L1236" s="97"/>
    </row>
    <row r="1237" spans="10:12">
      <c r="J1237" s="138"/>
      <c r="L1237" s="97"/>
    </row>
    <row r="1238" spans="10:12">
      <c r="J1238" s="138"/>
      <c r="L1238" s="97"/>
    </row>
    <row r="1239" spans="10:12">
      <c r="J1239" s="138"/>
      <c r="L1239" s="97"/>
    </row>
    <row r="1240" spans="10:12">
      <c r="J1240" s="138"/>
      <c r="L1240" s="97"/>
    </row>
    <row r="1241" spans="10:12">
      <c r="J1241" s="138"/>
      <c r="L1241" s="97"/>
    </row>
    <row r="1242" spans="10:12">
      <c r="J1242" s="138"/>
      <c r="L1242" s="97"/>
    </row>
    <row r="1243" spans="10:12">
      <c r="J1243" s="138"/>
      <c r="L1243" s="97"/>
    </row>
    <row r="1244" spans="10:12">
      <c r="J1244" s="138"/>
      <c r="L1244" s="97"/>
    </row>
    <row r="1245" spans="10:12">
      <c r="J1245" s="138"/>
      <c r="L1245" s="97"/>
    </row>
    <row r="1246" spans="10:12">
      <c r="J1246" s="138"/>
      <c r="L1246" s="97"/>
    </row>
    <row r="1247" spans="10:12">
      <c r="J1247" s="138"/>
      <c r="L1247" s="97"/>
    </row>
    <row r="1248" spans="10:12">
      <c r="J1248" s="138"/>
      <c r="L1248" s="97"/>
    </row>
    <row r="1249" spans="10:12">
      <c r="J1249" s="138"/>
      <c r="L1249" s="97"/>
    </row>
    <row r="1250" spans="10:12">
      <c r="J1250" s="138"/>
      <c r="L1250" s="97"/>
    </row>
    <row r="1251" spans="10:12">
      <c r="J1251" s="138"/>
      <c r="L1251" s="97"/>
    </row>
    <row r="1252" spans="10:12">
      <c r="J1252" s="138"/>
      <c r="L1252" s="97"/>
    </row>
    <row r="1253" spans="10:12">
      <c r="J1253" s="138"/>
      <c r="L1253" s="97"/>
    </row>
    <row r="1254" spans="10:12">
      <c r="J1254" s="138"/>
      <c r="L1254" s="97"/>
    </row>
    <row r="1255" spans="10:12">
      <c r="J1255" s="138"/>
      <c r="L1255" s="97"/>
    </row>
    <row r="1256" spans="10:12">
      <c r="J1256" s="138"/>
      <c r="L1256" s="97"/>
    </row>
    <row r="1257" spans="10:12">
      <c r="J1257" s="138"/>
      <c r="L1257" s="97"/>
    </row>
    <row r="1258" spans="10:12">
      <c r="J1258" s="138"/>
      <c r="L1258" s="97"/>
    </row>
    <row r="1259" spans="10:12">
      <c r="J1259" s="138"/>
      <c r="L1259" s="97"/>
    </row>
    <row r="1260" spans="10:12">
      <c r="J1260" s="138"/>
      <c r="L1260" s="97"/>
    </row>
    <row r="1261" spans="10:12">
      <c r="J1261" s="138"/>
      <c r="L1261" s="97"/>
    </row>
    <row r="1262" spans="10:12">
      <c r="J1262" s="138"/>
      <c r="L1262" s="97"/>
    </row>
    <row r="1263" spans="10:12">
      <c r="J1263" s="138"/>
      <c r="L1263" s="97"/>
    </row>
    <row r="1264" spans="10:12">
      <c r="J1264" s="138"/>
      <c r="L1264" s="97"/>
    </row>
    <row r="1265" spans="10:12">
      <c r="J1265" s="138"/>
      <c r="L1265" s="97"/>
    </row>
    <row r="1266" spans="10:12">
      <c r="J1266" s="138"/>
      <c r="L1266" s="97"/>
    </row>
    <row r="1267" spans="10:12">
      <c r="J1267" s="138"/>
      <c r="L1267" s="97"/>
    </row>
    <row r="1268" spans="10:12">
      <c r="J1268" s="138"/>
      <c r="L1268" s="97"/>
    </row>
    <row r="1269" spans="10:12">
      <c r="J1269" s="138"/>
      <c r="L1269" s="97"/>
    </row>
    <row r="1270" spans="10:12">
      <c r="J1270" s="138"/>
      <c r="L1270" s="97"/>
    </row>
    <row r="1271" spans="10:12">
      <c r="J1271" s="138"/>
      <c r="L1271" s="97"/>
    </row>
    <row r="1272" spans="10:12">
      <c r="J1272" s="138"/>
      <c r="L1272" s="97"/>
    </row>
    <row r="1273" spans="10:12">
      <c r="J1273" s="138"/>
      <c r="L1273" s="97"/>
    </row>
    <row r="1274" spans="10:12">
      <c r="J1274" s="138"/>
      <c r="L1274" s="97"/>
    </row>
    <row r="1275" spans="10:12">
      <c r="J1275" s="138"/>
      <c r="L1275" s="97"/>
    </row>
    <row r="1276" spans="10:12">
      <c r="J1276" s="138"/>
      <c r="L1276" s="97"/>
    </row>
    <row r="1277" spans="10:12">
      <c r="J1277" s="138"/>
      <c r="L1277" s="97"/>
    </row>
    <row r="1278" spans="10:12">
      <c r="J1278" s="138"/>
      <c r="L1278" s="97"/>
    </row>
    <row r="1279" spans="10:12">
      <c r="J1279" s="138"/>
      <c r="L1279" s="97"/>
    </row>
    <row r="1280" spans="10:12">
      <c r="J1280" s="138"/>
      <c r="L1280" s="97"/>
    </row>
    <row r="1281" spans="10:12">
      <c r="J1281" s="138"/>
      <c r="L1281" s="97"/>
    </row>
    <row r="1282" spans="10:12">
      <c r="J1282" s="138"/>
      <c r="L1282" s="97"/>
    </row>
    <row r="1283" spans="10:12">
      <c r="J1283" s="138"/>
      <c r="L1283" s="97"/>
    </row>
    <row r="1284" spans="10:12">
      <c r="J1284" s="138"/>
      <c r="L1284" s="97"/>
    </row>
    <row r="1285" spans="10:12">
      <c r="J1285" s="138"/>
      <c r="L1285" s="97"/>
    </row>
    <row r="1286" spans="10:12">
      <c r="J1286" s="138"/>
      <c r="L1286" s="97"/>
    </row>
    <row r="1287" spans="10:12">
      <c r="J1287" s="138"/>
      <c r="L1287" s="97"/>
    </row>
    <row r="1288" spans="10:12">
      <c r="J1288" s="138"/>
      <c r="L1288" s="97"/>
    </row>
    <row r="1289" spans="10:12">
      <c r="J1289" s="138"/>
      <c r="L1289" s="97"/>
    </row>
    <row r="1290" spans="10:12">
      <c r="J1290" s="138"/>
      <c r="L1290" s="97"/>
    </row>
    <row r="1291" spans="10:12">
      <c r="J1291" s="138"/>
      <c r="L1291" s="97"/>
    </row>
    <row r="1292" spans="10:12">
      <c r="J1292" s="138"/>
      <c r="L1292" s="97"/>
    </row>
    <row r="1293" spans="10:12">
      <c r="J1293" s="138"/>
      <c r="L1293" s="97"/>
    </row>
    <row r="1294" spans="10:12">
      <c r="J1294" s="138"/>
      <c r="L1294" s="97"/>
    </row>
    <row r="1295" spans="10:12">
      <c r="J1295" s="138"/>
      <c r="L1295" s="97"/>
    </row>
    <row r="1296" spans="10:12">
      <c r="J1296" s="138"/>
      <c r="L1296" s="97"/>
    </row>
    <row r="1297" spans="10:12">
      <c r="J1297" s="138"/>
      <c r="L1297" s="97"/>
    </row>
    <row r="1298" spans="10:12">
      <c r="J1298" s="138"/>
      <c r="L1298" s="97"/>
    </row>
    <row r="1299" spans="10:12">
      <c r="J1299" s="138"/>
      <c r="L1299" s="97"/>
    </row>
    <row r="1300" spans="10:12">
      <c r="J1300" s="138"/>
      <c r="L1300" s="97"/>
    </row>
    <row r="1301" spans="10:12">
      <c r="J1301" s="138"/>
      <c r="L1301" s="97"/>
    </row>
    <row r="1302" spans="10:12">
      <c r="J1302" s="138"/>
      <c r="L1302" s="97"/>
    </row>
    <row r="1303" spans="10:12">
      <c r="J1303" s="138"/>
      <c r="L1303" s="97"/>
    </row>
    <row r="1304" spans="10:12">
      <c r="J1304" s="138"/>
      <c r="L1304" s="97"/>
    </row>
    <row r="1305" spans="10:12">
      <c r="J1305" s="138"/>
      <c r="L1305" s="97"/>
    </row>
    <row r="1306" spans="10:12">
      <c r="J1306" s="138"/>
      <c r="L1306" s="97"/>
    </row>
    <row r="1307" spans="10:12">
      <c r="J1307" s="138"/>
      <c r="L1307" s="97"/>
    </row>
    <row r="1308" spans="10:12">
      <c r="J1308" s="138"/>
      <c r="L1308" s="97"/>
    </row>
    <row r="1309" spans="10:12">
      <c r="J1309" s="138"/>
      <c r="L1309" s="97"/>
    </row>
    <row r="1310" spans="10:12">
      <c r="J1310" s="138"/>
      <c r="L1310" s="97"/>
    </row>
    <row r="1311" spans="10:12">
      <c r="J1311" s="138"/>
      <c r="L1311" s="97"/>
    </row>
    <row r="1312" spans="10:12">
      <c r="J1312" s="138"/>
      <c r="L1312" s="97"/>
    </row>
    <row r="1313" spans="10:12">
      <c r="J1313" s="138"/>
      <c r="L1313" s="97"/>
    </row>
    <row r="1314" spans="10:12">
      <c r="J1314" s="138"/>
      <c r="L1314" s="97"/>
    </row>
    <row r="1315" spans="10:12">
      <c r="J1315" s="138"/>
      <c r="L1315" s="97"/>
    </row>
    <row r="1316" spans="10:12">
      <c r="J1316" s="138"/>
      <c r="L1316" s="97"/>
    </row>
    <row r="1317" spans="10:12">
      <c r="J1317" s="138"/>
      <c r="L1317" s="97"/>
    </row>
    <row r="1318" spans="10:12">
      <c r="J1318" s="138"/>
      <c r="L1318" s="97"/>
    </row>
    <row r="1319" spans="10:12">
      <c r="J1319" s="138"/>
      <c r="L1319" s="97"/>
    </row>
    <row r="1320" spans="10:12">
      <c r="J1320" s="138"/>
      <c r="L1320" s="97"/>
    </row>
    <row r="1321" spans="10:12">
      <c r="J1321" s="138"/>
      <c r="L1321" s="97"/>
    </row>
    <row r="1322" spans="10:12">
      <c r="J1322" s="138"/>
      <c r="L1322" s="97"/>
    </row>
    <row r="1323" spans="10:12">
      <c r="J1323" s="138"/>
      <c r="L1323" s="97"/>
    </row>
    <row r="1324" spans="10:12">
      <c r="J1324" s="138"/>
      <c r="L1324" s="97"/>
    </row>
    <row r="1325" spans="10:12">
      <c r="J1325" s="138"/>
      <c r="L1325" s="97"/>
    </row>
    <row r="1326" spans="10:12">
      <c r="J1326" s="138"/>
      <c r="L1326" s="97"/>
    </row>
    <row r="1327" spans="10:12">
      <c r="J1327" s="138"/>
      <c r="L1327" s="97"/>
    </row>
    <row r="1328" spans="10:12">
      <c r="J1328" s="138"/>
      <c r="L1328" s="97"/>
    </row>
    <row r="1329" spans="10:12">
      <c r="J1329" s="138"/>
      <c r="L1329" s="97"/>
    </row>
    <row r="1330" spans="10:12">
      <c r="J1330" s="138"/>
      <c r="L1330" s="97"/>
    </row>
    <row r="1331" spans="10:12">
      <c r="J1331" s="138"/>
      <c r="L1331" s="97"/>
    </row>
    <row r="1332" spans="10:12">
      <c r="J1332" s="138"/>
      <c r="L1332" s="97"/>
    </row>
    <row r="1333" spans="10:12">
      <c r="J1333" s="138"/>
      <c r="L1333" s="97"/>
    </row>
    <row r="1334" spans="10:12">
      <c r="J1334" s="138"/>
      <c r="L1334" s="97"/>
    </row>
    <row r="1335" spans="10:12">
      <c r="J1335" s="138"/>
      <c r="L1335" s="97"/>
    </row>
    <row r="1336" spans="10:12">
      <c r="J1336" s="138"/>
      <c r="L1336" s="97"/>
    </row>
    <row r="1337" spans="10:12">
      <c r="J1337" s="138"/>
      <c r="L1337" s="97"/>
    </row>
    <row r="1338" spans="10:12">
      <c r="J1338" s="138"/>
      <c r="L1338" s="97"/>
    </row>
    <row r="1339" spans="10:12">
      <c r="J1339" s="138"/>
      <c r="L1339" s="97"/>
    </row>
    <row r="1340" spans="10:12">
      <c r="J1340" s="138"/>
      <c r="L1340" s="97"/>
    </row>
    <row r="1341" spans="10:12">
      <c r="J1341" s="138"/>
      <c r="L1341" s="97"/>
    </row>
    <row r="1342" spans="10:12">
      <c r="J1342" s="138"/>
      <c r="L1342" s="97"/>
    </row>
    <row r="1343" spans="10:12">
      <c r="J1343" s="138"/>
      <c r="L1343" s="97"/>
    </row>
    <row r="1344" spans="10:12">
      <c r="J1344" s="138"/>
      <c r="L1344" s="97"/>
    </row>
    <row r="1345" spans="10:12">
      <c r="J1345" s="138"/>
      <c r="L1345" s="97"/>
    </row>
    <row r="1346" spans="10:12">
      <c r="J1346" s="138"/>
      <c r="L1346" s="97"/>
    </row>
    <row r="1347" spans="10:12">
      <c r="J1347" s="138"/>
      <c r="L1347" s="97"/>
    </row>
    <row r="1348" spans="10:12">
      <c r="J1348" s="138"/>
      <c r="L1348" s="97"/>
    </row>
    <row r="1349" spans="10:12">
      <c r="J1349" s="138"/>
      <c r="L1349" s="97"/>
    </row>
    <row r="1350" spans="10:12">
      <c r="J1350" s="138"/>
      <c r="L1350" s="97"/>
    </row>
    <row r="1351" spans="10:12">
      <c r="J1351" s="138"/>
      <c r="L1351" s="97"/>
    </row>
    <row r="1352" spans="10:12">
      <c r="J1352" s="138"/>
      <c r="L1352" s="97"/>
    </row>
    <row r="1353" spans="10:12">
      <c r="J1353" s="138"/>
      <c r="L1353" s="97"/>
    </row>
    <row r="1354" spans="10:12">
      <c r="J1354" s="138"/>
      <c r="L1354" s="97"/>
    </row>
    <row r="1355" spans="10:12">
      <c r="J1355" s="138"/>
      <c r="L1355" s="97"/>
    </row>
    <row r="1356" spans="10:12">
      <c r="J1356" s="138"/>
      <c r="L1356" s="97"/>
    </row>
    <row r="1357" spans="10:12">
      <c r="J1357" s="138"/>
      <c r="L1357" s="97"/>
    </row>
    <row r="1358" spans="10:12">
      <c r="J1358" s="138"/>
      <c r="L1358" s="97"/>
    </row>
    <row r="1359" spans="10:12">
      <c r="J1359" s="138"/>
      <c r="L1359" s="97"/>
    </row>
    <row r="1360" spans="10:12">
      <c r="J1360" s="138"/>
      <c r="L1360" s="97"/>
    </row>
    <row r="1361" spans="10:12">
      <c r="J1361" s="138"/>
      <c r="L1361" s="97"/>
    </row>
    <row r="1362" spans="10:12">
      <c r="J1362" s="138"/>
      <c r="L1362" s="97"/>
    </row>
    <row r="1363" spans="10:12">
      <c r="J1363" s="138"/>
      <c r="L1363" s="97"/>
    </row>
    <row r="1364" spans="10:12">
      <c r="J1364" s="138"/>
      <c r="L1364" s="97"/>
    </row>
    <row r="1365" spans="10:12">
      <c r="J1365" s="138"/>
      <c r="L1365" s="97"/>
    </row>
    <row r="1366" spans="10:12">
      <c r="J1366" s="138"/>
      <c r="L1366" s="97"/>
    </row>
    <row r="1367" spans="10:12">
      <c r="J1367" s="138"/>
      <c r="L1367" s="97"/>
    </row>
    <row r="1368" spans="10:12">
      <c r="J1368" s="138"/>
      <c r="L1368" s="97"/>
    </row>
    <row r="1369" spans="10:12">
      <c r="J1369" s="138"/>
      <c r="L1369" s="97"/>
    </row>
    <row r="1370" spans="10:12">
      <c r="J1370" s="138"/>
      <c r="L1370" s="97"/>
    </row>
    <row r="1371" spans="10:12">
      <c r="J1371" s="138"/>
      <c r="L1371" s="97"/>
    </row>
    <row r="1372" spans="10:12">
      <c r="J1372" s="138"/>
      <c r="L1372" s="97"/>
    </row>
    <row r="1373" spans="10:12">
      <c r="J1373" s="138"/>
      <c r="L1373" s="97"/>
    </row>
    <row r="1374" spans="10:12">
      <c r="J1374" s="138"/>
      <c r="L1374" s="97"/>
    </row>
    <row r="1375" spans="10:12">
      <c r="J1375" s="138"/>
      <c r="L1375" s="97"/>
    </row>
    <row r="1376" spans="10:12">
      <c r="J1376" s="138"/>
      <c r="L1376" s="97"/>
    </row>
    <row r="1377" spans="10:12">
      <c r="J1377" s="138"/>
      <c r="L1377" s="97"/>
    </row>
    <row r="1378" spans="10:12">
      <c r="J1378" s="138"/>
      <c r="L1378" s="97"/>
    </row>
    <row r="1379" spans="10:12">
      <c r="J1379" s="138"/>
      <c r="L1379" s="97"/>
    </row>
    <row r="1380" spans="10:12">
      <c r="J1380" s="138"/>
      <c r="L1380" s="97"/>
    </row>
    <row r="1381" spans="10:12">
      <c r="J1381" s="138"/>
      <c r="L1381" s="97"/>
    </row>
    <row r="1382" spans="10:12">
      <c r="J1382" s="138"/>
      <c r="L1382" s="97"/>
    </row>
    <row r="1383" spans="10:12">
      <c r="J1383" s="138"/>
      <c r="L1383" s="97"/>
    </row>
    <row r="1384" spans="10:12">
      <c r="J1384" s="138"/>
      <c r="L1384" s="97"/>
    </row>
    <row r="1385" spans="10:12">
      <c r="J1385" s="138"/>
      <c r="L1385" s="97"/>
    </row>
    <row r="1386" spans="10:12">
      <c r="J1386" s="138"/>
      <c r="L1386" s="97"/>
    </row>
    <row r="1387" spans="10:12">
      <c r="J1387" s="138"/>
      <c r="L1387" s="97"/>
    </row>
    <row r="1388" spans="10:12">
      <c r="J1388" s="138"/>
      <c r="L1388" s="97"/>
    </row>
    <row r="1389" spans="10:12">
      <c r="J1389" s="138"/>
      <c r="L1389" s="97"/>
    </row>
    <row r="1390" spans="10:12">
      <c r="J1390" s="138"/>
      <c r="L1390" s="97"/>
    </row>
    <row r="1391" spans="10:12">
      <c r="J1391" s="138"/>
      <c r="L1391" s="97"/>
    </row>
    <row r="1392" spans="10:12">
      <c r="J1392" s="138"/>
      <c r="L1392" s="97"/>
    </row>
    <row r="1393" spans="10:12">
      <c r="J1393" s="138"/>
      <c r="L1393" s="97"/>
    </row>
    <row r="1394" spans="10:12">
      <c r="J1394" s="138"/>
      <c r="L1394" s="97"/>
    </row>
    <row r="1395" spans="10:12">
      <c r="J1395" s="138"/>
      <c r="L1395" s="97"/>
    </row>
    <row r="1396" spans="10:12">
      <c r="J1396" s="138"/>
      <c r="L1396" s="97"/>
    </row>
    <row r="1397" spans="10:12">
      <c r="J1397" s="138"/>
      <c r="L1397" s="97"/>
    </row>
    <row r="1398" spans="10:12">
      <c r="J1398" s="138"/>
      <c r="L1398" s="97"/>
    </row>
    <row r="1399" spans="10:12">
      <c r="J1399" s="138"/>
      <c r="L1399" s="97"/>
    </row>
    <row r="1400" spans="10:12">
      <c r="J1400" s="138"/>
      <c r="L1400" s="97"/>
    </row>
    <row r="1401" spans="10:12">
      <c r="J1401" s="138"/>
      <c r="L1401" s="97"/>
    </row>
    <row r="1402" spans="10:12">
      <c r="J1402" s="138"/>
      <c r="L1402" s="97"/>
    </row>
    <row r="1403" spans="10:12">
      <c r="J1403" s="138"/>
      <c r="L1403" s="97"/>
    </row>
    <row r="1404" spans="10:12">
      <c r="J1404" s="138"/>
      <c r="L1404" s="97"/>
    </row>
    <row r="1405" spans="10:12">
      <c r="J1405" s="138"/>
      <c r="L1405" s="97"/>
    </row>
    <row r="1406" spans="10:12">
      <c r="J1406" s="138"/>
      <c r="L1406" s="97"/>
    </row>
    <row r="1407" spans="10:12">
      <c r="J1407" s="138"/>
      <c r="L1407" s="97"/>
    </row>
    <row r="1408" spans="10:12">
      <c r="J1408" s="138"/>
      <c r="L1408" s="97"/>
    </row>
    <row r="1409" spans="10:12">
      <c r="J1409" s="138"/>
      <c r="L1409" s="97"/>
    </row>
    <row r="1410" spans="10:12">
      <c r="J1410" s="138"/>
      <c r="L1410" s="97"/>
    </row>
    <row r="1411" spans="10:12">
      <c r="J1411" s="138"/>
      <c r="L1411" s="97"/>
    </row>
    <row r="1412" spans="10:12">
      <c r="J1412" s="138"/>
      <c r="L1412" s="97"/>
    </row>
    <row r="1413" spans="10:12">
      <c r="J1413" s="138"/>
      <c r="L1413" s="97"/>
    </row>
    <row r="1414" spans="10:12">
      <c r="J1414" s="138"/>
      <c r="L1414" s="97"/>
    </row>
    <row r="1415" spans="10:12">
      <c r="J1415" s="138"/>
      <c r="L1415" s="97"/>
    </row>
    <row r="1416" spans="10:12">
      <c r="J1416" s="138"/>
      <c r="L1416" s="97"/>
    </row>
    <row r="1417" spans="10:12">
      <c r="J1417" s="138"/>
      <c r="L1417" s="97"/>
    </row>
    <row r="1418" spans="10:12">
      <c r="J1418" s="138"/>
      <c r="L1418" s="97"/>
    </row>
    <row r="1419" spans="10:12">
      <c r="J1419" s="138"/>
      <c r="L1419" s="97"/>
    </row>
    <row r="1420" spans="10:12">
      <c r="J1420" s="138"/>
      <c r="L1420" s="97"/>
    </row>
    <row r="1421" spans="10:12">
      <c r="J1421" s="138"/>
      <c r="L1421" s="97"/>
    </row>
    <row r="1422" spans="10:12">
      <c r="J1422" s="138"/>
      <c r="L1422" s="97"/>
    </row>
    <row r="1423" spans="10:12">
      <c r="J1423" s="138"/>
      <c r="L1423" s="97"/>
    </row>
    <row r="1424" spans="10:12">
      <c r="J1424" s="138"/>
      <c r="L1424" s="97"/>
    </row>
    <row r="1425" spans="10:12">
      <c r="J1425" s="138"/>
      <c r="L1425" s="97"/>
    </row>
    <row r="1426" spans="10:12">
      <c r="J1426" s="138"/>
      <c r="L1426" s="97"/>
    </row>
    <row r="1427" spans="10:12">
      <c r="J1427" s="138"/>
      <c r="L1427" s="97"/>
    </row>
    <row r="1428" spans="10:12">
      <c r="J1428" s="138"/>
      <c r="L1428" s="97"/>
    </row>
    <row r="1429" spans="10:12">
      <c r="J1429" s="138"/>
      <c r="L1429" s="97"/>
    </row>
    <row r="1430" spans="10:12">
      <c r="J1430" s="138"/>
      <c r="L1430" s="97"/>
    </row>
    <row r="1431" spans="10:12">
      <c r="J1431" s="138"/>
      <c r="L1431" s="97"/>
    </row>
    <row r="1432" spans="10:12">
      <c r="J1432" s="138"/>
      <c r="L1432" s="97"/>
    </row>
    <row r="1433" spans="10:12">
      <c r="J1433" s="138"/>
      <c r="L1433" s="97"/>
    </row>
    <row r="1434" spans="10:12">
      <c r="J1434" s="138"/>
      <c r="L1434" s="97"/>
    </row>
    <row r="1435" spans="10:12">
      <c r="J1435" s="138"/>
      <c r="L1435" s="97"/>
    </row>
    <row r="1436" spans="10:12">
      <c r="J1436" s="138"/>
      <c r="L1436" s="97"/>
    </row>
    <row r="1437" spans="10:12">
      <c r="J1437" s="138"/>
      <c r="L1437" s="97"/>
    </row>
    <row r="1438" spans="10:12">
      <c r="J1438" s="138"/>
      <c r="L1438" s="97"/>
    </row>
    <row r="1439" spans="10:12">
      <c r="J1439" s="138"/>
      <c r="L1439" s="97"/>
    </row>
    <row r="1440" spans="10:12">
      <c r="J1440" s="138"/>
      <c r="L1440" s="97"/>
    </row>
    <row r="1441" spans="10:12">
      <c r="J1441" s="138"/>
      <c r="L1441" s="97"/>
    </row>
    <row r="1442" spans="10:12">
      <c r="J1442" s="138"/>
      <c r="L1442" s="97"/>
    </row>
    <row r="1443" spans="10:12">
      <c r="J1443" s="138"/>
      <c r="L1443" s="97"/>
    </row>
    <row r="1444" spans="10:12">
      <c r="J1444" s="138"/>
      <c r="L1444" s="97"/>
    </row>
    <row r="1445" spans="10:12">
      <c r="J1445" s="138"/>
      <c r="L1445" s="97"/>
    </row>
    <row r="1446" spans="10:12">
      <c r="J1446" s="138"/>
      <c r="L1446" s="97"/>
    </row>
    <row r="1447" spans="10:12">
      <c r="J1447" s="138"/>
      <c r="L1447" s="97"/>
    </row>
    <row r="1448" spans="10:12">
      <c r="J1448" s="138"/>
      <c r="L1448" s="97"/>
    </row>
    <row r="1449" spans="10:12">
      <c r="J1449" s="138"/>
      <c r="L1449" s="97"/>
    </row>
    <row r="1450" spans="10:12">
      <c r="J1450" s="138"/>
      <c r="L1450" s="97"/>
    </row>
    <row r="1451" spans="10:12">
      <c r="J1451" s="138"/>
      <c r="L1451" s="97"/>
    </row>
    <row r="1452" spans="10:12">
      <c r="J1452" s="138"/>
      <c r="L1452" s="97"/>
    </row>
    <row r="1453" spans="10:12">
      <c r="J1453" s="138"/>
      <c r="L1453" s="97"/>
    </row>
    <row r="1454" spans="10:12">
      <c r="J1454" s="138"/>
      <c r="L1454" s="97"/>
    </row>
    <row r="1455" spans="10:12">
      <c r="J1455" s="138"/>
      <c r="L1455" s="97"/>
    </row>
    <row r="1456" spans="10:12">
      <c r="J1456" s="138"/>
      <c r="L1456" s="97"/>
    </row>
    <row r="1457" spans="10:12">
      <c r="J1457" s="138"/>
      <c r="L1457" s="97"/>
    </row>
    <row r="1458" spans="10:12">
      <c r="J1458" s="138"/>
      <c r="L1458" s="97"/>
    </row>
    <row r="1459" spans="10:12">
      <c r="J1459" s="138"/>
      <c r="L1459" s="97"/>
    </row>
    <row r="1460" spans="10:12">
      <c r="J1460" s="138"/>
      <c r="L1460" s="97"/>
    </row>
    <row r="1461" spans="10:12">
      <c r="J1461" s="138"/>
      <c r="L1461" s="97"/>
    </row>
    <row r="1462" spans="10:12">
      <c r="J1462" s="138"/>
      <c r="L1462" s="97"/>
    </row>
    <row r="1463" spans="10:12">
      <c r="J1463" s="138"/>
      <c r="L1463" s="97"/>
    </row>
    <row r="1464" spans="10:12">
      <c r="J1464" s="138"/>
      <c r="L1464" s="97"/>
    </row>
    <row r="1465" spans="10:12">
      <c r="J1465" s="138"/>
      <c r="L1465" s="97"/>
    </row>
    <row r="1466" spans="10:12">
      <c r="J1466" s="138"/>
      <c r="L1466" s="97"/>
    </row>
    <row r="1467" spans="10:12">
      <c r="J1467" s="138"/>
      <c r="L1467" s="97"/>
    </row>
    <row r="1468" spans="10:12">
      <c r="J1468" s="138"/>
      <c r="L1468" s="97"/>
    </row>
    <row r="1469" spans="10:12">
      <c r="J1469" s="138"/>
      <c r="L1469" s="97"/>
    </row>
    <row r="1470" spans="10:12">
      <c r="J1470" s="138"/>
      <c r="L1470" s="97"/>
    </row>
    <row r="1471" spans="10:12">
      <c r="J1471" s="138"/>
      <c r="L1471" s="97"/>
    </row>
    <row r="1472" spans="10:12">
      <c r="J1472" s="138"/>
      <c r="L1472" s="97"/>
    </row>
    <row r="1473" spans="10:12">
      <c r="J1473" s="138"/>
      <c r="L1473" s="97"/>
    </row>
    <row r="1474" spans="10:12">
      <c r="J1474" s="138"/>
      <c r="L1474" s="97"/>
    </row>
    <row r="1475" spans="10:12">
      <c r="J1475" s="138"/>
      <c r="L1475" s="97"/>
    </row>
    <row r="1476" spans="10:12">
      <c r="J1476" s="138"/>
      <c r="L1476" s="97"/>
    </row>
    <row r="1477" spans="10:12">
      <c r="J1477" s="138"/>
      <c r="L1477" s="97"/>
    </row>
    <row r="1478" spans="10:12">
      <c r="J1478" s="138"/>
      <c r="L1478" s="97"/>
    </row>
    <row r="1479" spans="10:12">
      <c r="J1479" s="138"/>
      <c r="L1479" s="97"/>
    </row>
    <row r="1480" spans="10:12">
      <c r="J1480" s="138"/>
      <c r="L1480" s="97"/>
    </row>
    <row r="1481" spans="10:12">
      <c r="J1481" s="138"/>
      <c r="L1481" s="97"/>
    </row>
    <row r="1482" spans="10:12">
      <c r="J1482" s="138"/>
      <c r="L1482" s="97"/>
    </row>
    <row r="1483" spans="10:12">
      <c r="J1483" s="138"/>
      <c r="L1483" s="97"/>
    </row>
    <row r="1484" spans="10:12">
      <c r="J1484" s="138"/>
      <c r="L1484" s="97"/>
    </row>
    <row r="1485" spans="10:12">
      <c r="J1485" s="138"/>
      <c r="L1485" s="97"/>
    </row>
    <row r="1486" spans="10:12">
      <c r="J1486" s="138"/>
      <c r="L1486" s="97"/>
    </row>
    <row r="1487" spans="10:12">
      <c r="J1487" s="138"/>
      <c r="L1487" s="97"/>
    </row>
    <row r="1488" spans="10:12">
      <c r="J1488" s="138"/>
      <c r="L1488" s="97"/>
    </row>
    <row r="1489" spans="10:12">
      <c r="J1489" s="138"/>
      <c r="L1489" s="97"/>
    </row>
    <row r="1490" spans="10:12">
      <c r="J1490" s="138"/>
      <c r="L1490" s="97"/>
    </row>
    <row r="1491" spans="10:12">
      <c r="J1491" s="138"/>
      <c r="L1491" s="97"/>
    </row>
    <row r="1492" spans="10:12">
      <c r="J1492" s="138"/>
      <c r="L1492" s="97"/>
    </row>
    <row r="1493" spans="10:12">
      <c r="J1493" s="138"/>
      <c r="L1493" s="97"/>
    </row>
    <row r="1494" spans="10:12">
      <c r="J1494" s="138"/>
      <c r="L1494" s="97"/>
    </row>
    <row r="1495" spans="10:12">
      <c r="J1495" s="138"/>
      <c r="L1495" s="97"/>
    </row>
    <row r="1496" spans="10:12">
      <c r="J1496" s="138"/>
      <c r="L1496" s="97"/>
    </row>
    <row r="1497" spans="10:12">
      <c r="J1497" s="138"/>
      <c r="L1497" s="97"/>
    </row>
    <row r="1498" spans="10:12">
      <c r="J1498" s="138"/>
      <c r="L1498" s="97"/>
    </row>
    <row r="1499" spans="10:12">
      <c r="J1499" s="138"/>
      <c r="L1499" s="97"/>
    </row>
    <row r="1500" spans="10:12">
      <c r="J1500" s="138"/>
      <c r="L1500" s="97"/>
    </row>
    <row r="1501" spans="10:12">
      <c r="J1501" s="138"/>
      <c r="L1501" s="97"/>
    </row>
    <row r="1502" spans="10:12">
      <c r="J1502" s="138"/>
      <c r="L1502" s="97"/>
    </row>
    <row r="1503" spans="10:12">
      <c r="J1503" s="138"/>
      <c r="L1503" s="97"/>
    </row>
    <row r="1504" spans="10:12">
      <c r="J1504" s="138"/>
      <c r="L1504" s="97"/>
    </row>
    <row r="1505" spans="10:12">
      <c r="J1505" s="138"/>
      <c r="L1505" s="97"/>
    </row>
    <row r="1506" spans="10:12">
      <c r="J1506" s="138"/>
      <c r="L1506" s="97"/>
    </row>
    <row r="1507" spans="10:12">
      <c r="J1507" s="138"/>
      <c r="L1507" s="97"/>
    </row>
    <row r="1508" spans="10:12">
      <c r="J1508" s="138"/>
      <c r="L1508" s="97"/>
    </row>
    <row r="1509" spans="10:12">
      <c r="J1509" s="138"/>
      <c r="L1509" s="97"/>
    </row>
    <row r="1510" spans="10:12">
      <c r="J1510" s="138"/>
      <c r="L1510" s="97"/>
    </row>
    <row r="1511" spans="10:12">
      <c r="J1511" s="138"/>
      <c r="L1511" s="97"/>
    </row>
    <row r="1512" spans="10:12">
      <c r="J1512" s="138"/>
      <c r="L1512" s="97"/>
    </row>
    <row r="1513" spans="10:12">
      <c r="J1513" s="138"/>
      <c r="L1513" s="97"/>
    </row>
    <row r="1514" spans="10:12">
      <c r="J1514" s="138"/>
      <c r="L1514" s="97"/>
    </row>
    <row r="1515" spans="10:12">
      <c r="J1515" s="138"/>
      <c r="L1515" s="97"/>
    </row>
    <row r="1516" spans="10:12">
      <c r="J1516" s="138"/>
      <c r="L1516" s="97"/>
    </row>
    <row r="1517" spans="10:12">
      <c r="J1517" s="138"/>
      <c r="L1517" s="97"/>
    </row>
    <row r="1518" spans="10:12">
      <c r="J1518" s="138"/>
      <c r="L1518" s="97"/>
    </row>
    <row r="1519" spans="10:12">
      <c r="J1519" s="138"/>
      <c r="L1519" s="97"/>
    </row>
    <row r="1520" spans="10:12">
      <c r="J1520" s="138"/>
      <c r="L1520" s="97"/>
    </row>
    <row r="1521" spans="10:12">
      <c r="J1521" s="138"/>
      <c r="L1521" s="97"/>
    </row>
    <row r="1522" spans="10:12">
      <c r="J1522" s="138"/>
      <c r="L1522" s="97"/>
    </row>
    <row r="1523" spans="10:12">
      <c r="J1523" s="138"/>
      <c r="L1523" s="97"/>
    </row>
    <row r="1524" spans="10:12">
      <c r="J1524" s="138"/>
      <c r="L1524" s="97"/>
    </row>
    <row r="1525" spans="10:12">
      <c r="J1525" s="138"/>
      <c r="L1525" s="97"/>
    </row>
    <row r="1526" spans="10:12">
      <c r="J1526" s="138"/>
      <c r="L1526" s="97"/>
    </row>
    <row r="1527" spans="10:12">
      <c r="J1527" s="138"/>
      <c r="L1527" s="97"/>
    </row>
    <row r="1528" spans="10:12">
      <c r="J1528" s="138"/>
      <c r="L1528" s="97"/>
    </row>
    <row r="1529" spans="10:12">
      <c r="J1529" s="138"/>
      <c r="L1529" s="97"/>
    </row>
    <row r="1530" spans="10:12">
      <c r="J1530" s="138"/>
      <c r="L1530" s="97"/>
    </row>
    <row r="1531" spans="10:12">
      <c r="J1531" s="138"/>
      <c r="L1531" s="97"/>
    </row>
    <row r="1532" spans="10:12">
      <c r="J1532" s="138"/>
      <c r="L1532" s="97"/>
    </row>
    <row r="1533" spans="10:12">
      <c r="J1533" s="138"/>
      <c r="L1533" s="97"/>
    </row>
    <row r="1534" spans="10:12">
      <c r="J1534" s="138"/>
      <c r="L1534" s="97"/>
    </row>
    <row r="1535" spans="10:12">
      <c r="J1535" s="138"/>
      <c r="L1535" s="97"/>
    </row>
    <row r="1536" spans="10:12">
      <c r="J1536" s="138"/>
      <c r="L1536" s="97"/>
    </row>
    <row r="1537" spans="10:12">
      <c r="J1537" s="138"/>
      <c r="L1537" s="97"/>
    </row>
    <row r="1538" spans="10:12">
      <c r="J1538" s="138"/>
      <c r="L1538" s="97"/>
    </row>
    <row r="1539" spans="10:12">
      <c r="J1539" s="138"/>
      <c r="L1539" s="97"/>
    </row>
    <row r="1540" spans="10:12">
      <c r="J1540" s="138"/>
      <c r="L1540" s="97"/>
    </row>
    <row r="1541" spans="10:12">
      <c r="J1541" s="138"/>
      <c r="L1541" s="97"/>
    </row>
    <row r="1542" spans="10:12">
      <c r="J1542" s="138"/>
      <c r="L1542" s="97"/>
    </row>
    <row r="1543" spans="10:12">
      <c r="J1543" s="138"/>
      <c r="L1543" s="97"/>
    </row>
    <row r="1544" spans="10:12">
      <c r="J1544" s="138"/>
      <c r="L1544" s="97"/>
    </row>
    <row r="1545" spans="10:12">
      <c r="J1545" s="138"/>
      <c r="L1545" s="97"/>
    </row>
    <row r="1546" spans="10:12">
      <c r="J1546" s="138"/>
      <c r="L1546" s="97"/>
    </row>
    <row r="1547" spans="10:12">
      <c r="J1547" s="138"/>
      <c r="L1547" s="97"/>
    </row>
    <row r="1548" spans="10:12">
      <c r="J1548" s="138"/>
      <c r="L1548" s="97"/>
    </row>
    <row r="1549" spans="10:12">
      <c r="J1549" s="138"/>
      <c r="L1549" s="97"/>
    </row>
    <row r="1550" spans="10:12">
      <c r="J1550" s="138"/>
      <c r="L1550" s="97"/>
    </row>
    <row r="1551" spans="10:12">
      <c r="J1551" s="138"/>
      <c r="L1551" s="97"/>
    </row>
    <row r="1552" spans="10:12">
      <c r="J1552" s="138"/>
      <c r="L1552" s="97"/>
    </row>
    <row r="1553" spans="10:12">
      <c r="J1553" s="138"/>
      <c r="L1553" s="97"/>
    </row>
    <row r="1554" spans="10:12">
      <c r="J1554" s="138"/>
      <c r="L1554" s="97"/>
    </row>
    <row r="1555" spans="10:12">
      <c r="J1555" s="138"/>
      <c r="L1555" s="97"/>
    </row>
    <row r="1556" spans="10:12">
      <c r="J1556" s="138"/>
      <c r="L1556" s="97"/>
    </row>
    <row r="1557" spans="10:12">
      <c r="J1557" s="138"/>
      <c r="L1557" s="97"/>
    </row>
    <row r="1558" spans="10:12">
      <c r="J1558" s="138"/>
      <c r="L1558" s="97"/>
    </row>
    <row r="1559" spans="10:12">
      <c r="J1559" s="138"/>
      <c r="L1559" s="97"/>
    </row>
    <row r="1560" spans="10:12">
      <c r="J1560" s="138"/>
      <c r="L1560" s="97"/>
    </row>
    <row r="1561" spans="10:12">
      <c r="J1561" s="138"/>
      <c r="L1561" s="97"/>
    </row>
    <row r="1562" spans="10:12">
      <c r="J1562" s="138"/>
      <c r="L1562" s="97"/>
    </row>
    <row r="1563" spans="10:12">
      <c r="J1563" s="138"/>
      <c r="L1563" s="97"/>
    </row>
    <row r="1564" spans="10:12">
      <c r="J1564" s="138"/>
      <c r="L1564" s="97"/>
    </row>
    <row r="1565" spans="10:12">
      <c r="J1565" s="138"/>
      <c r="L1565" s="97"/>
    </row>
    <row r="1566" spans="10:12">
      <c r="J1566" s="138"/>
      <c r="L1566" s="97"/>
    </row>
    <row r="1567" spans="10:12">
      <c r="J1567" s="138"/>
      <c r="L1567" s="97"/>
    </row>
    <row r="1568" spans="10:12">
      <c r="J1568" s="138"/>
      <c r="L1568" s="97"/>
    </row>
    <row r="1569" spans="10:12">
      <c r="J1569" s="138"/>
      <c r="L1569" s="97"/>
    </row>
    <row r="1570" spans="10:12">
      <c r="J1570" s="138"/>
      <c r="L1570" s="97"/>
    </row>
    <row r="1571" spans="10:12">
      <c r="J1571" s="138"/>
      <c r="L1571" s="97"/>
    </row>
    <row r="1572" spans="10:12">
      <c r="J1572" s="138"/>
      <c r="L1572" s="97"/>
    </row>
    <row r="1573" spans="10:12">
      <c r="J1573" s="138"/>
      <c r="L1573" s="97"/>
    </row>
    <row r="1574" spans="10:12">
      <c r="J1574" s="138"/>
      <c r="L1574" s="97"/>
    </row>
    <row r="1575" spans="10:12">
      <c r="J1575" s="138"/>
      <c r="L1575" s="97"/>
    </row>
    <row r="1576" spans="10:12">
      <c r="J1576" s="138"/>
      <c r="L1576" s="97"/>
    </row>
    <row r="1577" spans="10:12">
      <c r="J1577" s="138"/>
      <c r="L1577" s="97"/>
    </row>
    <row r="1578" spans="10:12">
      <c r="J1578" s="138"/>
      <c r="L1578" s="97"/>
    </row>
    <row r="1579" spans="10:12">
      <c r="J1579" s="138"/>
      <c r="L1579" s="97"/>
    </row>
    <row r="1580" spans="10:12">
      <c r="J1580" s="138"/>
      <c r="L1580" s="97"/>
    </row>
    <row r="1581" spans="10:12">
      <c r="J1581" s="138"/>
      <c r="L1581" s="97"/>
    </row>
    <row r="1582" spans="10:12">
      <c r="J1582" s="138"/>
      <c r="L1582" s="97"/>
    </row>
    <row r="1583" spans="10:12">
      <c r="J1583" s="138"/>
      <c r="L1583" s="97"/>
    </row>
    <row r="1584" spans="10:12">
      <c r="J1584" s="138"/>
      <c r="L1584" s="97"/>
    </row>
    <row r="1585" spans="10:12">
      <c r="J1585" s="138"/>
      <c r="L1585" s="97"/>
    </row>
    <row r="1586" spans="10:12">
      <c r="J1586" s="138"/>
      <c r="L1586" s="97"/>
    </row>
    <row r="1587" spans="10:12">
      <c r="J1587" s="138"/>
      <c r="L1587" s="97"/>
    </row>
    <row r="1588" spans="10:12">
      <c r="J1588" s="138"/>
      <c r="L1588" s="97"/>
    </row>
    <row r="1589" spans="10:12">
      <c r="J1589" s="138"/>
      <c r="L1589" s="97"/>
    </row>
    <row r="1590" spans="10:12">
      <c r="J1590" s="138"/>
      <c r="L1590" s="97"/>
    </row>
    <row r="1591" spans="10:12">
      <c r="J1591" s="138"/>
      <c r="L1591" s="97"/>
    </row>
    <row r="1592" spans="10:12">
      <c r="J1592" s="138"/>
      <c r="L1592" s="97"/>
    </row>
    <row r="1593" spans="10:12">
      <c r="J1593" s="138"/>
      <c r="L1593" s="97"/>
    </row>
    <row r="1594" spans="10:12">
      <c r="J1594" s="138"/>
      <c r="L1594" s="97"/>
    </row>
    <row r="1595" spans="10:12">
      <c r="J1595" s="138"/>
      <c r="L1595" s="97"/>
    </row>
    <row r="1596" spans="10:12">
      <c r="J1596" s="138"/>
      <c r="L1596" s="97"/>
    </row>
    <row r="1597" spans="10:12">
      <c r="J1597" s="138"/>
      <c r="L1597" s="97"/>
    </row>
    <row r="1598" spans="10:12">
      <c r="J1598" s="138"/>
      <c r="L1598" s="97"/>
    </row>
    <row r="1599" spans="10:12">
      <c r="J1599" s="138"/>
      <c r="L1599" s="97"/>
    </row>
    <row r="1600" spans="10:12">
      <c r="J1600" s="138"/>
      <c r="L1600" s="97"/>
    </row>
    <row r="1601" spans="10:12">
      <c r="J1601" s="138"/>
      <c r="L1601" s="97"/>
    </row>
    <row r="1602" spans="10:12">
      <c r="J1602" s="138"/>
      <c r="L1602" s="97"/>
    </row>
    <row r="1603" spans="10:12">
      <c r="J1603" s="138"/>
      <c r="L1603" s="97"/>
    </row>
    <row r="1604" spans="10:12">
      <c r="J1604" s="138"/>
      <c r="L1604" s="97"/>
    </row>
    <row r="1605" spans="10:12">
      <c r="J1605" s="138"/>
      <c r="L1605" s="97"/>
    </row>
    <row r="1606" spans="10:12">
      <c r="J1606" s="138"/>
      <c r="L1606" s="97"/>
    </row>
    <row r="1607" spans="10:12">
      <c r="J1607" s="138"/>
      <c r="L1607" s="97"/>
    </row>
    <row r="1608" spans="10:12">
      <c r="J1608" s="138"/>
      <c r="L1608" s="97"/>
    </row>
    <row r="1609" spans="10:12">
      <c r="J1609" s="138"/>
      <c r="L1609" s="97"/>
    </row>
    <row r="1610" spans="10:12">
      <c r="J1610" s="138"/>
      <c r="L1610" s="97"/>
    </row>
    <row r="1611" spans="10:12">
      <c r="J1611" s="138"/>
      <c r="L1611" s="97"/>
    </row>
    <row r="1612" spans="10:12">
      <c r="J1612" s="138"/>
      <c r="L1612" s="97"/>
    </row>
    <row r="1613" spans="10:12">
      <c r="J1613" s="138"/>
      <c r="L1613" s="97"/>
    </row>
    <row r="1614" spans="10:12">
      <c r="J1614" s="138"/>
      <c r="L1614" s="97"/>
    </row>
    <row r="1615" spans="10:12">
      <c r="J1615" s="138"/>
      <c r="L1615" s="97"/>
    </row>
    <row r="1616" spans="10:12">
      <c r="J1616" s="138"/>
      <c r="L1616" s="97"/>
    </row>
    <row r="1617" spans="10:12">
      <c r="J1617" s="138"/>
      <c r="L1617" s="97"/>
    </row>
    <row r="1618" spans="10:12">
      <c r="J1618" s="138"/>
      <c r="L1618" s="97"/>
    </row>
    <row r="1619" spans="10:12">
      <c r="J1619" s="138"/>
      <c r="L1619" s="97"/>
    </row>
    <row r="1620" spans="10:12">
      <c r="J1620" s="138"/>
      <c r="L1620" s="97"/>
    </row>
    <row r="1621" spans="10:12">
      <c r="J1621" s="138"/>
      <c r="L1621" s="97"/>
    </row>
    <row r="1622" spans="10:12">
      <c r="J1622" s="138"/>
      <c r="L1622" s="97"/>
    </row>
    <row r="1623" spans="10:12">
      <c r="J1623" s="138"/>
      <c r="L1623" s="97"/>
    </row>
    <row r="1624" spans="10:12">
      <c r="J1624" s="138"/>
      <c r="L1624" s="97"/>
    </row>
    <row r="1625" spans="10:12">
      <c r="J1625" s="138"/>
      <c r="L1625" s="97"/>
    </row>
    <row r="1626" spans="10:12">
      <c r="J1626" s="138"/>
      <c r="L1626" s="97"/>
    </row>
    <row r="1627" spans="10:12">
      <c r="J1627" s="138"/>
      <c r="L1627" s="97"/>
    </row>
    <row r="1628" spans="10:12">
      <c r="J1628" s="138"/>
      <c r="L1628" s="97"/>
    </row>
    <row r="1629" spans="10:12">
      <c r="J1629" s="138"/>
      <c r="L1629" s="97"/>
    </row>
    <row r="1630" spans="10:12">
      <c r="J1630" s="138"/>
      <c r="L1630" s="97"/>
    </row>
    <row r="1631" spans="10:12">
      <c r="J1631" s="138"/>
      <c r="L1631" s="97"/>
    </row>
    <row r="1632" spans="10:12">
      <c r="J1632" s="138"/>
      <c r="L1632" s="97"/>
    </row>
    <row r="1633" spans="10:12">
      <c r="J1633" s="138"/>
      <c r="L1633" s="97"/>
    </row>
    <row r="1634" spans="10:12">
      <c r="J1634" s="138"/>
      <c r="L1634" s="97"/>
    </row>
    <row r="1635" spans="10:12">
      <c r="J1635" s="138"/>
      <c r="L1635" s="97"/>
    </row>
    <row r="1636" spans="10:12">
      <c r="J1636" s="138"/>
      <c r="L1636" s="97"/>
    </row>
    <row r="1637" spans="10:12">
      <c r="J1637" s="138"/>
      <c r="L1637" s="97"/>
    </row>
    <row r="1638" spans="10:12">
      <c r="J1638" s="138"/>
      <c r="L1638" s="97"/>
    </row>
    <row r="1639" spans="10:12">
      <c r="J1639" s="138"/>
      <c r="L1639" s="97"/>
    </row>
    <row r="1640" spans="10:12">
      <c r="J1640" s="138"/>
      <c r="L1640" s="97"/>
    </row>
    <row r="1641" spans="10:12">
      <c r="J1641" s="138"/>
      <c r="L1641" s="97"/>
    </row>
    <row r="1642" spans="10:12">
      <c r="J1642" s="138"/>
      <c r="L1642" s="97"/>
    </row>
    <row r="1643" spans="10:12">
      <c r="J1643" s="138"/>
      <c r="L1643" s="97"/>
    </row>
    <row r="1644" spans="10:12">
      <c r="J1644" s="138"/>
      <c r="L1644" s="97"/>
    </row>
    <row r="1645" spans="10:12">
      <c r="J1645" s="138"/>
      <c r="L1645" s="97"/>
    </row>
    <row r="1646" spans="10:12">
      <c r="J1646" s="138"/>
      <c r="L1646" s="97"/>
    </row>
    <row r="1647" spans="10:12">
      <c r="J1647" s="138"/>
      <c r="L1647" s="97"/>
    </row>
    <row r="1648" spans="10:12">
      <c r="J1648" s="138"/>
      <c r="L1648" s="97"/>
    </row>
    <row r="1649" spans="10:12">
      <c r="J1649" s="138"/>
      <c r="L1649" s="97"/>
    </row>
    <row r="1650" spans="10:12">
      <c r="J1650" s="138"/>
      <c r="L1650" s="97"/>
    </row>
    <row r="1651" spans="10:12">
      <c r="J1651" s="138"/>
      <c r="L1651" s="97"/>
    </row>
    <row r="1652" spans="10:12">
      <c r="J1652" s="138"/>
      <c r="L1652" s="97"/>
    </row>
    <row r="1653" spans="10:12">
      <c r="J1653" s="138"/>
      <c r="L1653" s="97"/>
    </row>
    <row r="1654" spans="10:12">
      <c r="J1654" s="138"/>
      <c r="L1654" s="97"/>
    </row>
    <row r="1655" spans="10:12">
      <c r="J1655" s="138"/>
      <c r="L1655" s="97"/>
    </row>
    <row r="1656" spans="10:12">
      <c r="J1656" s="138"/>
      <c r="L1656" s="97"/>
    </row>
    <row r="1657" spans="10:12">
      <c r="J1657" s="138"/>
      <c r="L1657" s="97"/>
    </row>
    <row r="1658" spans="10:12">
      <c r="J1658" s="138"/>
      <c r="L1658" s="97"/>
    </row>
    <row r="1659" spans="10:12">
      <c r="J1659" s="138"/>
      <c r="L1659" s="97"/>
    </row>
    <row r="1660" spans="10:12">
      <c r="J1660" s="138"/>
      <c r="L1660" s="97"/>
    </row>
    <row r="1661" spans="10:12">
      <c r="J1661" s="138"/>
      <c r="L1661" s="97"/>
    </row>
    <row r="1662" spans="10:12">
      <c r="J1662" s="138"/>
      <c r="L1662" s="97"/>
    </row>
    <row r="1663" spans="10:12">
      <c r="J1663" s="138"/>
      <c r="L1663" s="97"/>
    </row>
    <row r="1664" spans="10:12">
      <c r="J1664" s="138"/>
      <c r="L1664" s="97"/>
    </row>
    <row r="1665" spans="10:12">
      <c r="J1665" s="138"/>
      <c r="L1665" s="97"/>
    </row>
    <row r="1666" spans="10:12">
      <c r="J1666" s="138"/>
      <c r="L1666" s="97"/>
    </row>
    <row r="1667" spans="10:12">
      <c r="J1667" s="138"/>
      <c r="L1667" s="97"/>
    </row>
    <row r="1668" spans="10:12">
      <c r="J1668" s="138"/>
      <c r="L1668" s="97"/>
    </row>
    <row r="1669" spans="10:12">
      <c r="J1669" s="138"/>
      <c r="L1669" s="97"/>
    </row>
    <row r="1670" spans="10:12">
      <c r="J1670" s="138"/>
      <c r="L1670" s="97"/>
    </row>
    <row r="1671" spans="10:12">
      <c r="J1671" s="138"/>
      <c r="L1671" s="97"/>
    </row>
    <row r="1672" spans="10:12">
      <c r="J1672" s="138"/>
      <c r="L1672" s="97"/>
    </row>
    <row r="1673" spans="10:12">
      <c r="J1673" s="138"/>
      <c r="L1673" s="97"/>
    </row>
    <row r="1674" spans="10:12">
      <c r="J1674" s="138"/>
      <c r="L1674" s="97"/>
    </row>
    <row r="1675" spans="10:12">
      <c r="J1675" s="138"/>
      <c r="L1675" s="97"/>
    </row>
    <row r="1676" spans="10:12">
      <c r="J1676" s="138"/>
      <c r="L1676" s="97"/>
    </row>
    <row r="1677" spans="10:12">
      <c r="J1677" s="138"/>
      <c r="L1677" s="97"/>
    </row>
    <row r="1678" spans="10:12">
      <c r="J1678" s="138"/>
      <c r="L1678" s="97"/>
    </row>
    <row r="1679" spans="10:12">
      <c r="J1679" s="138"/>
      <c r="L1679" s="97"/>
    </row>
    <row r="1680" spans="10:12">
      <c r="J1680" s="138"/>
      <c r="L1680" s="97"/>
    </row>
    <row r="1681" spans="10:12">
      <c r="J1681" s="138"/>
      <c r="L1681" s="97"/>
    </row>
    <row r="1682" spans="10:12">
      <c r="J1682" s="138"/>
      <c r="L1682" s="97"/>
    </row>
    <row r="1683" spans="10:12">
      <c r="J1683" s="138"/>
      <c r="L1683" s="97"/>
    </row>
    <row r="1684" spans="10:12">
      <c r="J1684" s="138"/>
      <c r="L1684" s="97"/>
    </row>
    <row r="1685" spans="10:12">
      <c r="J1685" s="138"/>
      <c r="L1685" s="97"/>
    </row>
    <row r="1686" spans="10:12">
      <c r="J1686" s="138"/>
      <c r="L1686" s="97"/>
    </row>
    <row r="1687" spans="10:12">
      <c r="J1687" s="138"/>
      <c r="L1687" s="97"/>
    </row>
    <row r="1688" spans="10:12">
      <c r="J1688" s="138"/>
      <c r="L1688" s="97"/>
    </row>
    <row r="1689" spans="10:12">
      <c r="J1689" s="138"/>
      <c r="L1689" s="97"/>
    </row>
    <row r="1690" spans="10:12">
      <c r="J1690" s="138"/>
      <c r="L1690" s="97"/>
    </row>
    <row r="1691" spans="10:12">
      <c r="J1691" s="138"/>
      <c r="L1691" s="97"/>
    </row>
    <row r="1692" spans="10:12">
      <c r="J1692" s="138"/>
      <c r="L1692" s="97"/>
    </row>
    <row r="1693" spans="10:12">
      <c r="J1693" s="138"/>
      <c r="L1693" s="97"/>
    </row>
    <row r="1694" spans="10:12">
      <c r="J1694" s="138"/>
      <c r="L1694" s="97"/>
    </row>
    <row r="1695" spans="10:12">
      <c r="J1695" s="138"/>
      <c r="L1695" s="97"/>
    </row>
    <row r="1696" spans="10:12">
      <c r="J1696" s="138"/>
      <c r="L1696" s="97"/>
    </row>
    <row r="1697" spans="10:12">
      <c r="J1697" s="138"/>
      <c r="L1697" s="97"/>
    </row>
    <row r="1698" spans="10:12">
      <c r="J1698" s="138"/>
      <c r="L1698" s="97"/>
    </row>
    <row r="1699" spans="10:12">
      <c r="J1699" s="138"/>
      <c r="L1699" s="97"/>
    </row>
    <row r="1700" spans="10:12">
      <c r="J1700" s="138"/>
      <c r="L1700" s="97"/>
    </row>
  </sheetData>
  <mergeCells count="754">
    <mergeCell ref="B2:M3"/>
    <mergeCell ref="B4:B5"/>
    <mergeCell ref="C4:M5"/>
    <mergeCell ref="S4:V4"/>
    <mergeCell ref="S5:V5"/>
    <mergeCell ref="B6:B7"/>
    <mergeCell ref="C6:M7"/>
    <mergeCell ref="S6:V6"/>
    <mergeCell ref="S7:V7"/>
    <mergeCell ref="O4:R4"/>
    <mergeCell ref="O5:R5"/>
    <mergeCell ref="O6:R6"/>
    <mergeCell ref="O7:R7"/>
    <mergeCell ref="B8:B9"/>
    <mergeCell ref="C8:M9"/>
    <mergeCell ref="S8:V8"/>
    <mergeCell ref="S9:U9"/>
    <mergeCell ref="B10:B15"/>
    <mergeCell ref="C10:M15"/>
    <mergeCell ref="S10:V10"/>
    <mergeCell ref="S11:V11"/>
    <mergeCell ref="S12:V12"/>
    <mergeCell ref="S13:V13"/>
    <mergeCell ref="S14:V14"/>
    <mergeCell ref="S15:V15"/>
    <mergeCell ref="O8:R8"/>
    <mergeCell ref="O9:Q9"/>
    <mergeCell ref="O10:R10"/>
    <mergeCell ref="O11:R11"/>
    <mergeCell ref="O12:R12"/>
    <mergeCell ref="O13:R13"/>
    <mergeCell ref="O14:R14"/>
    <mergeCell ref="B16:B19"/>
    <mergeCell ref="C16:M19"/>
    <mergeCell ref="S16:V16"/>
    <mergeCell ref="S17:V17"/>
    <mergeCell ref="S18:V18"/>
    <mergeCell ref="S19:V19"/>
    <mergeCell ref="O15:R15"/>
    <mergeCell ref="O16:R16"/>
    <mergeCell ref="M25:N25"/>
    <mergeCell ref="O17:R17"/>
    <mergeCell ref="O18:R18"/>
    <mergeCell ref="O19:R19"/>
    <mergeCell ref="J26:J28"/>
    <mergeCell ref="K26:K28"/>
    <mergeCell ref="M26:N26"/>
    <mergeCell ref="M27:N27"/>
    <mergeCell ref="M28:N28"/>
    <mergeCell ref="F20:M20"/>
    <mergeCell ref="S20:V20"/>
    <mergeCell ref="M21:N21"/>
    <mergeCell ref="M22:N22"/>
    <mergeCell ref="B23:N23"/>
    <mergeCell ref="B24:N24"/>
    <mergeCell ref="O20:R20"/>
    <mergeCell ref="J29:J31"/>
    <mergeCell ref="K29:K31"/>
    <mergeCell ref="M29:N29"/>
    <mergeCell ref="M30:N30"/>
    <mergeCell ref="M31:N31"/>
    <mergeCell ref="J32:J34"/>
    <mergeCell ref="K32:K34"/>
    <mergeCell ref="M32:N32"/>
    <mergeCell ref="M33:N33"/>
    <mergeCell ref="M34:N34"/>
    <mergeCell ref="M39:N39"/>
    <mergeCell ref="J40:J42"/>
    <mergeCell ref="K40:K42"/>
    <mergeCell ref="M40:N40"/>
    <mergeCell ref="M41:N41"/>
    <mergeCell ref="M42:N42"/>
    <mergeCell ref="M35:N35"/>
    <mergeCell ref="J36:J38"/>
    <mergeCell ref="K36:K38"/>
    <mergeCell ref="M36:N36"/>
    <mergeCell ref="M37:N37"/>
    <mergeCell ref="M38:N38"/>
    <mergeCell ref="M47:N47"/>
    <mergeCell ref="J48:J50"/>
    <mergeCell ref="K48:K50"/>
    <mergeCell ref="M48:N48"/>
    <mergeCell ref="M49:N49"/>
    <mergeCell ref="M50:N50"/>
    <mergeCell ref="M43:N43"/>
    <mergeCell ref="J44:J46"/>
    <mergeCell ref="K44:K46"/>
    <mergeCell ref="M44:N44"/>
    <mergeCell ref="M45:N45"/>
    <mergeCell ref="M46:N46"/>
    <mergeCell ref="M55:N55"/>
    <mergeCell ref="J56:J58"/>
    <mergeCell ref="K56:K58"/>
    <mergeCell ref="M56:N56"/>
    <mergeCell ref="M57:N57"/>
    <mergeCell ref="M58:N58"/>
    <mergeCell ref="M51:N51"/>
    <mergeCell ref="J52:J54"/>
    <mergeCell ref="K52:K54"/>
    <mergeCell ref="M52:N52"/>
    <mergeCell ref="M53:N53"/>
    <mergeCell ref="M54:N54"/>
    <mergeCell ref="M63:N63"/>
    <mergeCell ref="J64:J66"/>
    <mergeCell ref="K64:K66"/>
    <mergeCell ref="M64:N64"/>
    <mergeCell ref="M65:N65"/>
    <mergeCell ref="M66:N66"/>
    <mergeCell ref="M59:N59"/>
    <mergeCell ref="J60:J62"/>
    <mergeCell ref="K60:K62"/>
    <mergeCell ref="M60:N60"/>
    <mergeCell ref="M61:N61"/>
    <mergeCell ref="M62:N62"/>
    <mergeCell ref="M71:N71"/>
    <mergeCell ref="J72:J74"/>
    <mergeCell ref="K72:K74"/>
    <mergeCell ref="M72:N72"/>
    <mergeCell ref="M73:N73"/>
    <mergeCell ref="M74:N74"/>
    <mergeCell ref="M67:N67"/>
    <mergeCell ref="J68:J70"/>
    <mergeCell ref="K68:K70"/>
    <mergeCell ref="M68:N68"/>
    <mergeCell ref="M69:N69"/>
    <mergeCell ref="M70:N70"/>
    <mergeCell ref="M79:N79"/>
    <mergeCell ref="J80:J83"/>
    <mergeCell ref="K80:K83"/>
    <mergeCell ref="M80:N80"/>
    <mergeCell ref="M81:N81"/>
    <mergeCell ref="M82:N82"/>
    <mergeCell ref="M83:N83"/>
    <mergeCell ref="M75:N75"/>
    <mergeCell ref="J76:J78"/>
    <mergeCell ref="K76:K78"/>
    <mergeCell ref="M76:N76"/>
    <mergeCell ref="M77:N77"/>
    <mergeCell ref="M78:N78"/>
    <mergeCell ref="M89:N89"/>
    <mergeCell ref="J90:J91"/>
    <mergeCell ref="K90:K91"/>
    <mergeCell ref="M90:N90"/>
    <mergeCell ref="M91:N91"/>
    <mergeCell ref="M92:N92"/>
    <mergeCell ref="M84:N84"/>
    <mergeCell ref="J85:J88"/>
    <mergeCell ref="K85:K88"/>
    <mergeCell ref="M85:N85"/>
    <mergeCell ref="M86:N86"/>
    <mergeCell ref="M87:N87"/>
    <mergeCell ref="M88:N88"/>
    <mergeCell ref="M100:N100"/>
    <mergeCell ref="J101:J104"/>
    <mergeCell ref="K101:K104"/>
    <mergeCell ref="M101:N101"/>
    <mergeCell ref="M102:N102"/>
    <mergeCell ref="M103:N103"/>
    <mergeCell ref="M104:N104"/>
    <mergeCell ref="J93:J94"/>
    <mergeCell ref="M93:N93"/>
    <mergeCell ref="M94:N94"/>
    <mergeCell ref="M95:N95"/>
    <mergeCell ref="J96:J99"/>
    <mergeCell ref="K96:K99"/>
    <mergeCell ref="M96:N96"/>
    <mergeCell ref="M97:N97"/>
    <mergeCell ref="M98:N98"/>
    <mergeCell ref="M99:N99"/>
    <mergeCell ref="M110:N110"/>
    <mergeCell ref="J111:J114"/>
    <mergeCell ref="K111:K114"/>
    <mergeCell ref="M111:N111"/>
    <mergeCell ref="M112:N112"/>
    <mergeCell ref="M113:N113"/>
    <mergeCell ref="M114:N114"/>
    <mergeCell ref="M105:N105"/>
    <mergeCell ref="J106:J109"/>
    <mergeCell ref="K106:K109"/>
    <mergeCell ref="M106:N106"/>
    <mergeCell ref="M107:N107"/>
    <mergeCell ref="M108:N108"/>
    <mergeCell ref="M109:N109"/>
    <mergeCell ref="M120:N120"/>
    <mergeCell ref="J121:J124"/>
    <mergeCell ref="K121:K124"/>
    <mergeCell ref="M121:N121"/>
    <mergeCell ref="M122:N122"/>
    <mergeCell ref="M123:N123"/>
    <mergeCell ref="M124:N124"/>
    <mergeCell ref="M115:N115"/>
    <mergeCell ref="J116:J119"/>
    <mergeCell ref="K116:K119"/>
    <mergeCell ref="M116:N116"/>
    <mergeCell ref="M117:N117"/>
    <mergeCell ref="M118:N118"/>
    <mergeCell ref="M119:N119"/>
    <mergeCell ref="B129:N129"/>
    <mergeCell ref="M130:N130"/>
    <mergeCell ref="J131:J133"/>
    <mergeCell ref="K131:K133"/>
    <mergeCell ref="M131:N131"/>
    <mergeCell ref="M132:N132"/>
    <mergeCell ref="M133:N133"/>
    <mergeCell ref="M125:N125"/>
    <mergeCell ref="J126:J128"/>
    <mergeCell ref="K126:K128"/>
    <mergeCell ref="M126:N126"/>
    <mergeCell ref="M127:N127"/>
    <mergeCell ref="M128:N128"/>
    <mergeCell ref="M139:N139"/>
    <mergeCell ref="J140:J142"/>
    <mergeCell ref="K140:K142"/>
    <mergeCell ref="M140:N140"/>
    <mergeCell ref="M141:N141"/>
    <mergeCell ref="M142:N142"/>
    <mergeCell ref="M134:N134"/>
    <mergeCell ref="J135:J138"/>
    <mergeCell ref="K135:K138"/>
    <mergeCell ref="M135:N135"/>
    <mergeCell ref="M136:N136"/>
    <mergeCell ref="M137:N137"/>
    <mergeCell ref="M138:N138"/>
    <mergeCell ref="M147:N147"/>
    <mergeCell ref="J148:J150"/>
    <mergeCell ref="K148:K150"/>
    <mergeCell ref="M148:N148"/>
    <mergeCell ref="M149:N149"/>
    <mergeCell ref="M150:N150"/>
    <mergeCell ref="M143:N143"/>
    <mergeCell ref="J144:J146"/>
    <mergeCell ref="K144:K146"/>
    <mergeCell ref="M144:N144"/>
    <mergeCell ref="M145:N145"/>
    <mergeCell ref="M146:N146"/>
    <mergeCell ref="J155:J157"/>
    <mergeCell ref="K155:K157"/>
    <mergeCell ref="M155:N155"/>
    <mergeCell ref="M156:N156"/>
    <mergeCell ref="M157:N157"/>
    <mergeCell ref="M158:N158"/>
    <mergeCell ref="J151:J153"/>
    <mergeCell ref="K151:K153"/>
    <mergeCell ref="M151:N151"/>
    <mergeCell ref="M152:N152"/>
    <mergeCell ref="M153:N153"/>
    <mergeCell ref="M154:N154"/>
    <mergeCell ref="J163:J165"/>
    <mergeCell ref="K163:K165"/>
    <mergeCell ref="M163:N163"/>
    <mergeCell ref="M164:N164"/>
    <mergeCell ref="M165:N165"/>
    <mergeCell ref="B166:N166"/>
    <mergeCell ref="J159:J161"/>
    <mergeCell ref="K159:K161"/>
    <mergeCell ref="M159:N159"/>
    <mergeCell ref="M160:N160"/>
    <mergeCell ref="M161:N161"/>
    <mergeCell ref="M162:N162"/>
    <mergeCell ref="M171:N171"/>
    <mergeCell ref="J172:J174"/>
    <mergeCell ref="K172:K174"/>
    <mergeCell ref="M172:N172"/>
    <mergeCell ref="M173:N173"/>
    <mergeCell ref="M174:N174"/>
    <mergeCell ref="M167:N167"/>
    <mergeCell ref="J168:J170"/>
    <mergeCell ref="K168:K170"/>
    <mergeCell ref="M168:N168"/>
    <mergeCell ref="M169:N169"/>
    <mergeCell ref="M170:N170"/>
    <mergeCell ref="M179:N179"/>
    <mergeCell ref="J180:J183"/>
    <mergeCell ref="K180:K183"/>
    <mergeCell ref="M180:N180"/>
    <mergeCell ref="M181:N181"/>
    <mergeCell ref="M182:N182"/>
    <mergeCell ref="M183:N183"/>
    <mergeCell ref="M175:N175"/>
    <mergeCell ref="J176:J178"/>
    <mergeCell ref="K176:K178"/>
    <mergeCell ref="M176:N176"/>
    <mergeCell ref="M177:N177"/>
    <mergeCell ref="M178:N178"/>
    <mergeCell ref="M188:N188"/>
    <mergeCell ref="J189:J191"/>
    <mergeCell ref="K189:K191"/>
    <mergeCell ref="M189:N189"/>
    <mergeCell ref="M190:N190"/>
    <mergeCell ref="M191:N191"/>
    <mergeCell ref="M184:N184"/>
    <mergeCell ref="J185:J187"/>
    <mergeCell ref="K185:K187"/>
    <mergeCell ref="M185:N185"/>
    <mergeCell ref="M186:N186"/>
    <mergeCell ref="M187:N187"/>
    <mergeCell ref="M196:N196"/>
    <mergeCell ref="J197:J199"/>
    <mergeCell ref="K197:K199"/>
    <mergeCell ref="M197:N197"/>
    <mergeCell ref="M198:N198"/>
    <mergeCell ref="M199:N199"/>
    <mergeCell ref="M192:N192"/>
    <mergeCell ref="J193:J195"/>
    <mergeCell ref="K193:K195"/>
    <mergeCell ref="M193:N193"/>
    <mergeCell ref="M194:N194"/>
    <mergeCell ref="M195:N195"/>
    <mergeCell ref="M204:N204"/>
    <mergeCell ref="J205:J207"/>
    <mergeCell ref="K205:K207"/>
    <mergeCell ref="M205:N205"/>
    <mergeCell ref="M206:N206"/>
    <mergeCell ref="M207:N207"/>
    <mergeCell ref="M200:N200"/>
    <mergeCell ref="J201:J203"/>
    <mergeCell ref="K201:K203"/>
    <mergeCell ref="M201:N201"/>
    <mergeCell ref="M202:N202"/>
    <mergeCell ref="M203:N203"/>
    <mergeCell ref="M213:N213"/>
    <mergeCell ref="J214:J216"/>
    <mergeCell ref="K214:K216"/>
    <mergeCell ref="M214:N214"/>
    <mergeCell ref="M215:N215"/>
    <mergeCell ref="M216:N216"/>
    <mergeCell ref="B208:N208"/>
    <mergeCell ref="M209:N209"/>
    <mergeCell ref="J210:J212"/>
    <mergeCell ref="K210:K212"/>
    <mergeCell ref="M210:N210"/>
    <mergeCell ref="M211:N211"/>
    <mergeCell ref="M212:N212"/>
    <mergeCell ref="M221:N221"/>
    <mergeCell ref="J222:J224"/>
    <mergeCell ref="K222:K224"/>
    <mergeCell ref="M222:N222"/>
    <mergeCell ref="M223:N223"/>
    <mergeCell ref="M224:N224"/>
    <mergeCell ref="M217:N217"/>
    <mergeCell ref="J218:J220"/>
    <mergeCell ref="K218:K220"/>
    <mergeCell ref="M218:N218"/>
    <mergeCell ref="M219:N219"/>
    <mergeCell ref="M220:N220"/>
    <mergeCell ref="M229:N229"/>
    <mergeCell ref="J230:J232"/>
    <mergeCell ref="K230:K232"/>
    <mergeCell ref="M230:N230"/>
    <mergeCell ref="M231:N231"/>
    <mergeCell ref="M232:N232"/>
    <mergeCell ref="M225:N225"/>
    <mergeCell ref="J226:J228"/>
    <mergeCell ref="K226:K228"/>
    <mergeCell ref="M226:N226"/>
    <mergeCell ref="M227:N227"/>
    <mergeCell ref="M228:N228"/>
    <mergeCell ref="M237:N237"/>
    <mergeCell ref="J238:J240"/>
    <mergeCell ref="K238:K240"/>
    <mergeCell ref="M238:N238"/>
    <mergeCell ref="M239:N239"/>
    <mergeCell ref="M240:N240"/>
    <mergeCell ref="M233:N233"/>
    <mergeCell ref="J234:J236"/>
    <mergeCell ref="K234:K236"/>
    <mergeCell ref="M234:N234"/>
    <mergeCell ref="M235:N235"/>
    <mergeCell ref="M236:N236"/>
    <mergeCell ref="M245:N245"/>
    <mergeCell ref="J246:J248"/>
    <mergeCell ref="K246:K248"/>
    <mergeCell ref="M246:N246"/>
    <mergeCell ref="M247:N247"/>
    <mergeCell ref="M248:N248"/>
    <mergeCell ref="M241:N241"/>
    <mergeCell ref="J242:J244"/>
    <mergeCell ref="K242:K244"/>
    <mergeCell ref="M242:N242"/>
    <mergeCell ref="M243:N243"/>
    <mergeCell ref="M244:N244"/>
    <mergeCell ref="M253:N253"/>
    <mergeCell ref="J254:J256"/>
    <mergeCell ref="K254:K256"/>
    <mergeCell ref="M254:N254"/>
    <mergeCell ref="M255:N255"/>
    <mergeCell ref="M256:N256"/>
    <mergeCell ref="M249:N249"/>
    <mergeCell ref="J250:J252"/>
    <mergeCell ref="K250:K252"/>
    <mergeCell ref="M250:N250"/>
    <mergeCell ref="M251:N251"/>
    <mergeCell ref="M252:N252"/>
    <mergeCell ref="M261:N261"/>
    <mergeCell ref="J262:J264"/>
    <mergeCell ref="K262:K264"/>
    <mergeCell ref="M262:N262"/>
    <mergeCell ref="M263:N263"/>
    <mergeCell ref="M264:N264"/>
    <mergeCell ref="M257:N257"/>
    <mergeCell ref="J258:J260"/>
    <mergeCell ref="K258:K260"/>
    <mergeCell ref="M258:N258"/>
    <mergeCell ref="M259:N259"/>
    <mergeCell ref="M260:N260"/>
    <mergeCell ref="M269:N269"/>
    <mergeCell ref="J270:J272"/>
    <mergeCell ref="K270:K272"/>
    <mergeCell ref="M270:N270"/>
    <mergeCell ref="M271:N271"/>
    <mergeCell ref="M272:N272"/>
    <mergeCell ref="M265:N265"/>
    <mergeCell ref="J266:J268"/>
    <mergeCell ref="K266:K268"/>
    <mergeCell ref="M266:N266"/>
    <mergeCell ref="M267:N267"/>
    <mergeCell ref="M268:N268"/>
    <mergeCell ref="M277:N277"/>
    <mergeCell ref="J278:J280"/>
    <mergeCell ref="K278:K280"/>
    <mergeCell ref="M278:N278"/>
    <mergeCell ref="M279:N279"/>
    <mergeCell ref="M280:N280"/>
    <mergeCell ref="M273:N273"/>
    <mergeCell ref="J274:J276"/>
    <mergeCell ref="K274:K276"/>
    <mergeCell ref="M274:N274"/>
    <mergeCell ref="M275:N275"/>
    <mergeCell ref="M276:N276"/>
    <mergeCell ref="M285:N285"/>
    <mergeCell ref="J286:J288"/>
    <mergeCell ref="K286:K288"/>
    <mergeCell ref="M286:N286"/>
    <mergeCell ref="M287:N287"/>
    <mergeCell ref="M288:N288"/>
    <mergeCell ref="M281:N281"/>
    <mergeCell ref="J282:J284"/>
    <mergeCell ref="K282:K284"/>
    <mergeCell ref="M282:N282"/>
    <mergeCell ref="M283:N283"/>
    <mergeCell ref="M284:N284"/>
    <mergeCell ref="M293:N293"/>
    <mergeCell ref="J294:J296"/>
    <mergeCell ref="K294:K296"/>
    <mergeCell ref="M294:N294"/>
    <mergeCell ref="M295:N295"/>
    <mergeCell ref="M296:N296"/>
    <mergeCell ref="M289:N289"/>
    <mergeCell ref="J290:J292"/>
    <mergeCell ref="K290:K292"/>
    <mergeCell ref="M290:N290"/>
    <mergeCell ref="M291:N291"/>
    <mergeCell ref="M292:N292"/>
    <mergeCell ref="M301:N301"/>
    <mergeCell ref="J302:J304"/>
    <mergeCell ref="K302:K304"/>
    <mergeCell ref="M302:N302"/>
    <mergeCell ref="M303:N303"/>
    <mergeCell ref="M304:N304"/>
    <mergeCell ref="M297:N297"/>
    <mergeCell ref="J298:J300"/>
    <mergeCell ref="K298:K300"/>
    <mergeCell ref="M298:N298"/>
    <mergeCell ref="M299:N299"/>
    <mergeCell ref="M300:N300"/>
    <mergeCell ref="M309:N309"/>
    <mergeCell ref="J310:J312"/>
    <mergeCell ref="K310:K312"/>
    <mergeCell ref="M310:N310"/>
    <mergeCell ref="M311:N311"/>
    <mergeCell ref="M312:N312"/>
    <mergeCell ref="M305:N305"/>
    <mergeCell ref="J306:J308"/>
    <mergeCell ref="K306:K308"/>
    <mergeCell ref="M306:N306"/>
    <mergeCell ref="M307:N307"/>
    <mergeCell ref="M308:N308"/>
    <mergeCell ref="M317:N317"/>
    <mergeCell ref="J318:J320"/>
    <mergeCell ref="K318:K320"/>
    <mergeCell ref="M318:N318"/>
    <mergeCell ref="M319:N319"/>
    <mergeCell ref="M320:N320"/>
    <mergeCell ref="M313:N313"/>
    <mergeCell ref="J314:J316"/>
    <mergeCell ref="K314:K316"/>
    <mergeCell ref="M314:N314"/>
    <mergeCell ref="M315:N315"/>
    <mergeCell ref="M316:N316"/>
    <mergeCell ref="M325:N325"/>
    <mergeCell ref="J326:J328"/>
    <mergeCell ref="K326:K328"/>
    <mergeCell ref="M326:N326"/>
    <mergeCell ref="M327:N327"/>
    <mergeCell ref="M328:N328"/>
    <mergeCell ref="M321:N321"/>
    <mergeCell ref="J322:J324"/>
    <mergeCell ref="K322:K324"/>
    <mergeCell ref="M322:N322"/>
    <mergeCell ref="M323:N323"/>
    <mergeCell ref="M324:N324"/>
    <mergeCell ref="M333:N333"/>
    <mergeCell ref="J334:J336"/>
    <mergeCell ref="K334:K336"/>
    <mergeCell ref="M334:N334"/>
    <mergeCell ref="M335:N335"/>
    <mergeCell ref="M336:N336"/>
    <mergeCell ref="M329:N329"/>
    <mergeCell ref="J330:J332"/>
    <mergeCell ref="K330:K332"/>
    <mergeCell ref="M330:N330"/>
    <mergeCell ref="M331:N331"/>
    <mergeCell ref="M332:N332"/>
    <mergeCell ref="M341:N341"/>
    <mergeCell ref="J342:J344"/>
    <mergeCell ref="K342:K344"/>
    <mergeCell ref="M342:N342"/>
    <mergeCell ref="M343:N343"/>
    <mergeCell ref="M344:N344"/>
    <mergeCell ref="M337:N337"/>
    <mergeCell ref="J338:J340"/>
    <mergeCell ref="K338:K340"/>
    <mergeCell ref="M338:N338"/>
    <mergeCell ref="M339:N339"/>
    <mergeCell ref="M340:N340"/>
    <mergeCell ref="M349:N349"/>
    <mergeCell ref="J350:J352"/>
    <mergeCell ref="K350:K352"/>
    <mergeCell ref="M350:N350"/>
    <mergeCell ref="M351:N351"/>
    <mergeCell ref="M352:N352"/>
    <mergeCell ref="M345:N345"/>
    <mergeCell ref="J346:J348"/>
    <mergeCell ref="K346:K348"/>
    <mergeCell ref="M346:N346"/>
    <mergeCell ref="M347:N347"/>
    <mergeCell ref="M348:N348"/>
    <mergeCell ref="M357:N357"/>
    <mergeCell ref="J358:J360"/>
    <mergeCell ref="K358:K360"/>
    <mergeCell ref="M358:N358"/>
    <mergeCell ref="M359:N359"/>
    <mergeCell ref="M360:N360"/>
    <mergeCell ref="M353:N353"/>
    <mergeCell ref="J354:J356"/>
    <mergeCell ref="K354:K356"/>
    <mergeCell ref="M354:N354"/>
    <mergeCell ref="M355:N355"/>
    <mergeCell ref="M356:N356"/>
    <mergeCell ref="M365:N365"/>
    <mergeCell ref="J366:J368"/>
    <mergeCell ref="K366:K368"/>
    <mergeCell ref="M366:N366"/>
    <mergeCell ref="M367:N367"/>
    <mergeCell ref="M368:N368"/>
    <mergeCell ref="M361:N361"/>
    <mergeCell ref="J362:J364"/>
    <mergeCell ref="K362:K364"/>
    <mergeCell ref="M362:N362"/>
    <mergeCell ref="M363:N363"/>
    <mergeCell ref="M364:N364"/>
    <mergeCell ref="M373:N373"/>
    <mergeCell ref="J374:J376"/>
    <mergeCell ref="K374:K376"/>
    <mergeCell ref="M374:N374"/>
    <mergeCell ref="M375:N375"/>
    <mergeCell ref="M376:N376"/>
    <mergeCell ref="M369:N369"/>
    <mergeCell ref="J370:J372"/>
    <mergeCell ref="K370:K372"/>
    <mergeCell ref="M370:N370"/>
    <mergeCell ref="M371:N371"/>
    <mergeCell ref="M372:N372"/>
    <mergeCell ref="M381:N381"/>
    <mergeCell ref="J382:J384"/>
    <mergeCell ref="K382:K384"/>
    <mergeCell ref="M382:N382"/>
    <mergeCell ref="M383:N383"/>
    <mergeCell ref="M384:N384"/>
    <mergeCell ref="M377:N377"/>
    <mergeCell ref="J378:J380"/>
    <mergeCell ref="K378:K380"/>
    <mergeCell ref="M378:N378"/>
    <mergeCell ref="M379:N379"/>
    <mergeCell ref="M380:N380"/>
    <mergeCell ref="M389:N389"/>
    <mergeCell ref="J390:J392"/>
    <mergeCell ref="K390:K392"/>
    <mergeCell ref="M390:N390"/>
    <mergeCell ref="M391:N391"/>
    <mergeCell ref="M392:N392"/>
    <mergeCell ref="M385:N385"/>
    <mergeCell ref="J386:J388"/>
    <mergeCell ref="K386:K388"/>
    <mergeCell ref="M386:N386"/>
    <mergeCell ref="M387:N387"/>
    <mergeCell ref="M388:N388"/>
    <mergeCell ref="M397:N397"/>
    <mergeCell ref="J398:J400"/>
    <mergeCell ref="K398:K400"/>
    <mergeCell ref="M398:N398"/>
    <mergeCell ref="M399:N399"/>
    <mergeCell ref="M400:N400"/>
    <mergeCell ref="M393:N393"/>
    <mergeCell ref="J394:J396"/>
    <mergeCell ref="K394:K396"/>
    <mergeCell ref="M394:N394"/>
    <mergeCell ref="M395:N395"/>
    <mergeCell ref="M396:N396"/>
    <mergeCell ref="J406:J408"/>
    <mergeCell ref="K406:K408"/>
    <mergeCell ref="M406:N406"/>
    <mergeCell ref="M407:N407"/>
    <mergeCell ref="M408:N408"/>
    <mergeCell ref="M401:N401"/>
    <mergeCell ref="J402:J404"/>
    <mergeCell ref="K402:K404"/>
    <mergeCell ref="M402:N402"/>
    <mergeCell ref="M403:N403"/>
    <mergeCell ref="M404:N404"/>
    <mergeCell ref="M405:N405"/>
    <mergeCell ref="J414:J416"/>
    <mergeCell ref="K414:K416"/>
    <mergeCell ref="M414:N414"/>
    <mergeCell ref="M415:N415"/>
    <mergeCell ref="M416:N416"/>
    <mergeCell ref="M409:N409"/>
    <mergeCell ref="J410:J412"/>
    <mergeCell ref="K410:K412"/>
    <mergeCell ref="M410:N410"/>
    <mergeCell ref="M411:N411"/>
    <mergeCell ref="M412:N412"/>
    <mergeCell ref="M413:N413"/>
    <mergeCell ref="J422:J424"/>
    <mergeCell ref="K422:K424"/>
    <mergeCell ref="M422:N422"/>
    <mergeCell ref="M423:N423"/>
    <mergeCell ref="M424:N424"/>
    <mergeCell ref="M417:N417"/>
    <mergeCell ref="J418:J420"/>
    <mergeCell ref="K418:K420"/>
    <mergeCell ref="M418:N418"/>
    <mergeCell ref="M419:N419"/>
    <mergeCell ref="M420:N420"/>
    <mergeCell ref="J430:J432"/>
    <mergeCell ref="K430:K432"/>
    <mergeCell ref="M430:N430"/>
    <mergeCell ref="M431:N431"/>
    <mergeCell ref="M432:N432"/>
    <mergeCell ref="M425:N425"/>
    <mergeCell ref="J426:J428"/>
    <mergeCell ref="K426:K428"/>
    <mergeCell ref="M426:N426"/>
    <mergeCell ref="M427:N427"/>
    <mergeCell ref="M428:N428"/>
    <mergeCell ref="J438:J440"/>
    <mergeCell ref="K438:K440"/>
    <mergeCell ref="M438:N438"/>
    <mergeCell ref="M439:N439"/>
    <mergeCell ref="M440:N440"/>
    <mergeCell ref="M433:N433"/>
    <mergeCell ref="J434:J436"/>
    <mergeCell ref="K434:K436"/>
    <mergeCell ref="M434:N434"/>
    <mergeCell ref="M435:N435"/>
    <mergeCell ref="M436:N436"/>
    <mergeCell ref="J446:J448"/>
    <mergeCell ref="K446:K448"/>
    <mergeCell ref="M446:N446"/>
    <mergeCell ref="M447:N447"/>
    <mergeCell ref="M448:N448"/>
    <mergeCell ref="M441:N441"/>
    <mergeCell ref="J442:J444"/>
    <mergeCell ref="K442:K444"/>
    <mergeCell ref="M442:N442"/>
    <mergeCell ref="M443:N443"/>
    <mergeCell ref="M444:N444"/>
    <mergeCell ref="J454:J456"/>
    <mergeCell ref="K454:K456"/>
    <mergeCell ref="M454:N454"/>
    <mergeCell ref="M455:N455"/>
    <mergeCell ref="M456:N456"/>
    <mergeCell ref="M449:N449"/>
    <mergeCell ref="J450:J452"/>
    <mergeCell ref="K450:K452"/>
    <mergeCell ref="M450:N450"/>
    <mergeCell ref="M451:N451"/>
    <mergeCell ref="M452:N452"/>
    <mergeCell ref="J462:J464"/>
    <mergeCell ref="K462:K464"/>
    <mergeCell ref="M462:N462"/>
    <mergeCell ref="M463:N463"/>
    <mergeCell ref="M464:N464"/>
    <mergeCell ref="M457:N457"/>
    <mergeCell ref="J458:J460"/>
    <mergeCell ref="K458:K460"/>
    <mergeCell ref="M458:N458"/>
    <mergeCell ref="M459:N459"/>
    <mergeCell ref="M460:N460"/>
    <mergeCell ref="J470:J472"/>
    <mergeCell ref="K470:K472"/>
    <mergeCell ref="M470:N470"/>
    <mergeCell ref="M471:N471"/>
    <mergeCell ref="M472:N472"/>
    <mergeCell ref="M465:N465"/>
    <mergeCell ref="J466:J468"/>
    <mergeCell ref="K466:K468"/>
    <mergeCell ref="M466:N466"/>
    <mergeCell ref="M467:N467"/>
    <mergeCell ref="M468:N468"/>
    <mergeCell ref="J478:J480"/>
    <mergeCell ref="K478:K480"/>
    <mergeCell ref="M478:N478"/>
    <mergeCell ref="M479:N479"/>
    <mergeCell ref="M480:N480"/>
    <mergeCell ref="M473:N473"/>
    <mergeCell ref="J474:J476"/>
    <mergeCell ref="K474:K476"/>
    <mergeCell ref="M474:N474"/>
    <mergeCell ref="M475:N475"/>
    <mergeCell ref="M476:N476"/>
    <mergeCell ref="J492:J499"/>
    <mergeCell ref="K492:K495"/>
    <mergeCell ref="M492:N492"/>
    <mergeCell ref="M493:N493"/>
    <mergeCell ref="M494:N494"/>
    <mergeCell ref="M495:N495"/>
    <mergeCell ref="B481:N481"/>
    <mergeCell ref="M482:N482"/>
    <mergeCell ref="J483:J490"/>
    <mergeCell ref="K483:K486"/>
    <mergeCell ref="M483:N483"/>
    <mergeCell ref="M484:N484"/>
    <mergeCell ref="M485:N485"/>
    <mergeCell ref="M486:N486"/>
    <mergeCell ref="K487:K490"/>
    <mergeCell ref="M487:N487"/>
    <mergeCell ref="K496:K499"/>
    <mergeCell ref="M496:N496"/>
    <mergeCell ref="M497:N497"/>
    <mergeCell ref="M498:N498"/>
    <mergeCell ref="M499:N499"/>
    <mergeCell ref="M488:N488"/>
    <mergeCell ref="M489:N489"/>
    <mergeCell ref="M490:N490"/>
    <mergeCell ref="M491:N491"/>
    <mergeCell ref="M477:N477"/>
    <mergeCell ref="M469:N469"/>
    <mergeCell ref="M461:N461"/>
    <mergeCell ref="M453:N453"/>
    <mergeCell ref="M445:N445"/>
    <mergeCell ref="M437:N437"/>
    <mergeCell ref="M429:N429"/>
    <mergeCell ref="M421:N421"/>
  </mergeCells>
  <phoneticPr fontId="6" type="noConversion"/>
  <conditionalFormatting sqref="O25:O128">
    <cfRule type="cellIs" dxfId="99" priority="919" operator="equal">
      <formula>"N"</formula>
    </cfRule>
    <cfRule type="cellIs" dxfId="98" priority="920" operator="equal">
      <formula>"Y"</formula>
    </cfRule>
  </conditionalFormatting>
  <conditionalFormatting sqref="O130:O165">
    <cfRule type="cellIs" dxfId="97" priority="467" operator="equal">
      <formula>"N"</formula>
    </cfRule>
    <cfRule type="cellIs" dxfId="96" priority="468" operator="equal">
      <formula>"Y"</formula>
    </cfRule>
  </conditionalFormatting>
  <conditionalFormatting sqref="O167:O207">
    <cfRule type="cellIs" dxfId="95" priority="465" operator="equal">
      <formula>"N"</formula>
    </cfRule>
    <cfRule type="cellIs" dxfId="94" priority="466" operator="equal">
      <formula>"Y"</formula>
    </cfRule>
  </conditionalFormatting>
  <conditionalFormatting sqref="O209:O480">
    <cfRule type="cellIs" dxfId="93" priority="463" operator="equal">
      <formula>"N"</formula>
    </cfRule>
    <cfRule type="cellIs" dxfId="92" priority="464" operator="equal">
      <formula>"Y"</formula>
    </cfRule>
  </conditionalFormatting>
  <conditionalFormatting sqref="O482:O499">
    <cfRule type="cellIs" dxfId="91" priority="461" operator="equal">
      <formula>"N"</formula>
    </cfRule>
    <cfRule type="cellIs" dxfId="90" priority="462" operator="equal">
      <formula>"Y"</formula>
    </cfRule>
  </conditionalFormatting>
  <conditionalFormatting sqref="Q25:Q128 Q167:Q207">
    <cfRule type="cellIs" priority="914" operator="equal">
      <formula>"New"</formula>
    </cfRule>
    <cfRule type="cellIs" dxfId="89" priority="915" operator="equal">
      <formula>"N/A"</formula>
    </cfRule>
    <cfRule type="cellIs" dxfId="88" priority="916" operator="equal">
      <formula>"-"</formula>
    </cfRule>
    <cfRule type="cellIs" dxfId="87" priority="917" operator="equal">
      <formula>"F"</formula>
    </cfRule>
    <cfRule type="cellIs" dxfId="86" priority="918" operator="equal">
      <formula>"P"</formula>
    </cfRule>
  </conditionalFormatting>
  <conditionalFormatting sqref="Q130:Q165">
    <cfRule type="cellIs" priority="469" operator="equal">
      <formula>"New"</formula>
    </cfRule>
    <cfRule type="cellIs" dxfId="85" priority="470" operator="equal">
      <formula>"N/A"</formula>
    </cfRule>
    <cfRule type="cellIs" dxfId="84" priority="471" operator="equal">
      <formula>"-"</formula>
    </cfRule>
    <cfRule type="cellIs" dxfId="83" priority="472" operator="equal">
      <formula>"F"</formula>
    </cfRule>
    <cfRule type="cellIs" dxfId="82" priority="473" operator="equal">
      <formula>"P"</formula>
    </cfRule>
  </conditionalFormatting>
  <conditionalFormatting sqref="Q209:Q480">
    <cfRule type="cellIs" priority="524" operator="equal">
      <formula>"New"</formula>
    </cfRule>
    <cfRule type="cellIs" dxfId="81" priority="525" operator="equal">
      <formula>"N/A"</formula>
    </cfRule>
    <cfRule type="cellIs" dxfId="80" priority="526" operator="equal">
      <formula>"-"</formula>
    </cfRule>
    <cfRule type="cellIs" dxfId="79" priority="527" operator="equal">
      <formula>"F"</formula>
    </cfRule>
    <cfRule type="cellIs" dxfId="78" priority="528" operator="equal">
      <formula>"P"</formula>
    </cfRule>
  </conditionalFormatting>
  <conditionalFormatting sqref="Q482:Q499">
    <cfRule type="cellIs" priority="474" operator="equal">
      <formula>"New"</formula>
    </cfRule>
    <cfRule type="cellIs" dxfId="77" priority="475" operator="equal">
      <formula>"N/A"</formula>
    </cfRule>
    <cfRule type="cellIs" dxfId="76" priority="476" operator="equal">
      <formula>"-"</formula>
    </cfRule>
    <cfRule type="cellIs" dxfId="75" priority="477" operator="equal">
      <formula>"F"</formula>
    </cfRule>
    <cfRule type="cellIs" dxfId="74" priority="478" operator="equal">
      <formula>"P"</formula>
    </cfRule>
  </conditionalFormatting>
  <conditionalFormatting sqref="S25:S128">
    <cfRule type="cellIs" dxfId="73" priority="459" operator="equal">
      <formula>"N"</formula>
    </cfRule>
    <cfRule type="cellIs" dxfId="72" priority="460" operator="equal">
      <formula>"Y"</formula>
    </cfRule>
  </conditionalFormatting>
  <conditionalFormatting sqref="S130:S165">
    <cfRule type="cellIs" dxfId="71" priority="7" operator="equal">
      <formula>"N"</formula>
    </cfRule>
    <cfRule type="cellIs" dxfId="70" priority="8" operator="equal">
      <formula>"Y"</formula>
    </cfRule>
  </conditionalFormatting>
  <conditionalFormatting sqref="S167:S207">
    <cfRule type="cellIs" dxfId="69" priority="5" operator="equal">
      <formula>"N"</formula>
    </cfRule>
    <cfRule type="cellIs" dxfId="68" priority="6" operator="equal">
      <formula>"Y"</formula>
    </cfRule>
  </conditionalFormatting>
  <conditionalFormatting sqref="S209:S480">
    <cfRule type="cellIs" dxfId="67" priority="3" operator="equal">
      <formula>"N"</formula>
    </cfRule>
    <cfRule type="cellIs" dxfId="66" priority="4" operator="equal">
      <formula>"Y"</formula>
    </cfRule>
  </conditionalFormatting>
  <conditionalFormatting sqref="S482:S499">
    <cfRule type="cellIs" dxfId="65" priority="1" operator="equal">
      <formula>"N"</formula>
    </cfRule>
    <cfRule type="cellIs" dxfId="64" priority="2" operator="equal">
      <formula>"Y"</formula>
    </cfRule>
  </conditionalFormatting>
  <conditionalFormatting sqref="U25:U128 U167:U207">
    <cfRule type="cellIs" priority="454" operator="equal">
      <formula>"New"</formula>
    </cfRule>
    <cfRule type="cellIs" dxfId="63" priority="455" operator="equal">
      <formula>"N/A"</formula>
    </cfRule>
    <cfRule type="cellIs" dxfId="62" priority="456" operator="equal">
      <formula>"-"</formula>
    </cfRule>
    <cfRule type="cellIs" dxfId="61" priority="457" operator="equal">
      <formula>"F"</formula>
    </cfRule>
    <cfRule type="cellIs" dxfId="60" priority="458" operator="equal">
      <formula>"P"</formula>
    </cfRule>
  </conditionalFormatting>
  <conditionalFormatting sqref="U130:U165">
    <cfRule type="cellIs" priority="9" operator="equal">
      <formula>"New"</formula>
    </cfRule>
    <cfRule type="cellIs" dxfId="59" priority="10" operator="equal">
      <formula>"N/A"</formula>
    </cfRule>
    <cfRule type="cellIs" dxfId="58" priority="11" operator="equal">
      <formula>"-"</formula>
    </cfRule>
    <cfRule type="cellIs" dxfId="57" priority="12" operator="equal">
      <formula>"F"</formula>
    </cfRule>
    <cfRule type="cellIs" dxfId="56" priority="13" operator="equal">
      <formula>"P"</formula>
    </cfRule>
  </conditionalFormatting>
  <conditionalFormatting sqref="U209:U480">
    <cfRule type="cellIs" priority="64" operator="equal">
      <formula>"New"</formula>
    </cfRule>
    <cfRule type="cellIs" dxfId="55" priority="65" operator="equal">
      <formula>"N/A"</formula>
    </cfRule>
    <cfRule type="cellIs" dxfId="54" priority="66" operator="equal">
      <formula>"-"</formula>
    </cfRule>
    <cfRule type="cellIs" dxfId="53" priority="67" operator="equal">
      <formula>"F"</formula>
    </cfRule>
    <cfRule type="cellIs" dxfId="52" priority="68" operator="equal">
      <formula>"P"</formula>
    </cfRule>
  </conditionalFormatting>
  <conditionalFormatting sqref="U482:U499">
    <cfRule type="cellIs" priority="14" operator="equal">
      <formula>"New"</formula>
    </cfRule>
    <cfRule type="cellIs" dxfId="51" priority="15" operator="equal">
      <formula>"N/A"</formula>
    </cfRule>
    <cfRule type="cellIs" dxfId="50" priority="16" operator="equal">
      <formula>"-"</formula>
    </cfRule>
    <cfRule type="cellIs" dxfId="49" priority="17" operator="equal">
      <formula>"F"</formula>
    </cfRule>
    <cfRule type="cellIs" dxfId="48" priority="18" operator="equal">
      <formula>"P"</formula>
    </cfRule>
  </conditionalFormatting>
  <dataValidations count="8">
    <dataValidation type="list" allowBlank="1" showInputMessage="1" showErrorMessage="1" sqref="O25:O128 O130:O165 O167:O207 O209:O480 O482:O499 S25:S128 S130:S165 S167:S207 S209:S480 S482:S499" xr:uid="{2567CC12-D511-4FEC-B6B9-0501C8C4678D}">
      <formula1>"Y,N"</formula1>
    </dataValidation>
    <dataValidation errorStyle="warning" allowBlank="1" showInputMessage="1" showErrorMessage="1" sqref="F22" xr:uid="{48B605AC-7E8B-426F-8F13-AB2B05F73DCB}"/>
    <dataValidation type="list" allowBlank="1" showInputMessage="1" showErrorMessage="1" sqref="H25:H128 H482:H499 H130:H165 H167:H207 H209:H480" xr:uid="{017E22C2-D00E-43BF-B5DF-721843426D01}">
      <formula1>"冒烟,高,中,低"</formula1>
    </dataValidation>
    <dataValidation type="list" allowBlank="1" showInputMessage="1" showErrorMessage="1" sqref="Q482:Q499 Q25:Q128 Q130:Q165 Q209:Q480 Q167:Q207 U482:U499 U25:U128 U130:U165 U209:U480 U167:U207" xr:uid="{45E04B36-24DA-4F34-A120-82CAD5CCF996}">
      <formula1>"P,F,-,N/A,New"</formula1>
    </dataValidation>
    <dataValidation type="list" errorStyle="warning" allowBlank="1" showInputMessage="1" showErrorMessage="1" sqref="F25:F128 F482:F499 F167:F207 F130:F165 F209:F480" xr:uid="{BBDD99A7-2AE0-4180-9CAA-AF9BAF535C6C}">
      <formula1>"功能,用例,子用例,新增用例,步骤"</formula1>
    </dataValidation>
    <dataValidation type="list" errorStyle="warning" allowBlank="1" showInputMessage="1" showErrorMessage="1" sqref="F21" xr:uid="{8068A42F-D00D-462B-9A5F-A40072DDBF32}">
      <formula1>"功能,用例,子用例,步骤"</formula1>
    </dataValidation>
    <dataValidation allowBlank="1" showInputMessage="1" showErrorMessage="1" sqref="P21 R21 T21 V21" xr:uid="{6333C259-98D4-4C2A-80CE-2549E8472029}"/>
    <dataValidation type="list" allowBlank="1" showInputMessage="1" showErrorMessage="1" sqref="I1:I3 I20 I23:I1048576" xr:uid="{5A81C993-CB44-44FC-9DDC-B0CC80230857}">
      <formula1>"Manual,HIL,实车"</formula1>
    </dataValidation>
  </dataValidations>
  <pageMargins left="0.7" right="0.7" top="0.75" bottom="0.75" header="0.3" footer="0.3"/>
  <pageSetup paperSize="9" scale="65" orientation="portrait" r:id="rId1"/>
  <colBreaks count="1" manualBreakCount="1">
    <brk id="11" max="1043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152D-B97C-4306-A912-5DE8C99754EA}">
  <sheetPr>
    <outlinePr summaryBelow="0" summaryRight="0"/>
    <pageSetUpPr autoPageBreaks="0"/>
  </sheetPr>
  <dimension ref="B2:V1250"/>
  <sheetViews>
    <sheetView tabSelected="1" topLeftCell="A21" zoomScale="70" zoomScaleNormal="70" zoomScaleSheetLayoutView="90" workbookViewId="0">
      <selection activeCell="F29" sqref="F29"/>
    </sheetView>
  </sheetViews>
  <sheetFormatPr defaultRowHeight="13.5" outlineLevelRow="4" outlineLevelCol="1"/>
  <cols>
    <col min="1" max="1" width="4.25" style="97" customWidth="1"/>
    <col min="2" max="2" width="20" style="189" customWidth="1"/>
    <col min="3" max="3" width="26.625" style="189" customWidth="1" outlineLevel="1"/>
    <col min="4" max="5" width="20" style="189" customWidth="1" outlineLevel="1"/>
    <col min="6" max="6" width="10.75" style="97" customWidth="1"/>
    <col min="7" max="7" width="31" style="190" customWidth="1"/>
    <col min="8" max="8" width="8.5" style="97" customWidth="1"/>
    <col min="9" max="9" width="8.875" style="97" customWidth="1"/>
    <col min="10" max="10" width="29" style="191" customWidth="1"/>
    <col min="11" max="11" width="36.125" style="138" customWidth="1"/>
    <col min="12" max="12" width="30.875" style="192" customWidth="1"/>
    <col min="13" max="13" width="14.875" style="97" customWidth="1"/>
    <col min="14" max="14" width="40.5" style="97" customWidth="1"/>
    <col min="15" max="15" width="9.125" style="97" customWidth="1"/>
    <col min="16" max="16" width="9.625" style="97" customWidth="1" outlineLevel="1"/>
    <col min="17" max="17" width="12.75" style="97" customWidth="1" outlineLevel="1"/>
    <col min="18" max="18" width="60.625" style="97" customWidth="1" outlineLevel="1"/>
    <col min="19" max="19" width="9.125" style="97" customWidth="1"/>
    <col min="20" max="20" width="9.625" style="97" customWidth="1" outlineLevel="1"/>
    <col min="21" max="21" width="12.75" style="97" customWidth="1" outlineLevel="1"/>
    <col min="22" max="22" width="32.875" style="97" customWidth="1" outlineLevel="1"/>
    <col min="23" max="16384" width="9" style="97"/>
  </cols>
  <sheetData>
    <row r="2" spans="2:22" ht="13.5" customHeight="1">
      <c r="B2" s="359" t="s">
        <v>146</v>
      </c>
      <c r="C2" s="360"/>
      <c r="D2" s="360"/>
      <c r="E2" s="360"/>
      <c r="F2" s="360"/>
      <c r="G2" s="360"/>
      <c r="H2" s="360"/>
      <c r="I2" s="360"/>
      <c r="J2" s="360"/>
      <c r="K2" s="360"/>
      <c r="L2" s="361"/>
      <c r="M2" s="362"/>
      <c r="N2" s="96"/>
    </row>
    <row r="3" spans="2:22" ht="13.5" customHeight="1">
      <c r="B3" s="363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5"/>
      <c r="N3" s="96"/>
    </row>
    <row r="4" spans="2:22" ht="20.25" customHeight="1">
      <c r="B4" s="366" t="s">
        <v>147</v>
      </c>
      <c r="C4" s="338"/>
      <c r="D4" s="339"/>
      <c r="E4" s="339"/>
      <c r="F4" s="339"/>
      <c r="G4" s="339"/>
      <c r="H4" s="339"/>
      <c r="I4" s="339"/>
      <c r="J4" s="339"/>
      <c r="K4" s="339"/>
      <c r="L4" s="339"/>
      <c r="M4" s="340"/>
      <c r="N4" s="98"/>
      <c r="O4" s="367" t="s">
        <v>586</v>
      </c>
      <c r="P4" s="368"/>
      <c r="Q4" s="368"/>
      <c r="R4" s="369"/>
      <c r="S4" s="367" t="s">
        <v>587</v>
      </c>
      <c r="T4" s="368"/>
      <c r="U4" s="368"/>
      <c r="V4" s="369"/>
    </row>
    <row r="5" spans="2:22" ht="30.75" customHeight="1">
      <c r="B5" s="337"/>
      <c r="C5" s="341"/>
      <c r="D5" s="342"/>
      <c r="E5" s="342"/>
      <c r="F5" s="342"/>
      <c r="G5" s="342"/>
      <c r="H5" s="342"/>
      <c r="I5" s="342"/>
      <c r="J5" s="342"/>
      <c r="K5" s="342"/>
      <c r="L5" s="342"/>
      <c r="M5" s="343"/>
      <c r="N5" s="98" t="s">
        <v>148</v>
      </c>
      <c r="O5" s="370"/>
      <c r="P5" s="371"/>
      <c r="Q5" s="371"/>
      <c r="R5" s="372"/>
      <c r="S5" s="370"/>
      <c r="T5" s="371"/>
      <c r="U5" s="371"/>
      <c r="V5" s="372"/>
    </row>
    <row r="6" spans="2:22" ht="29.25" customHeight="1">
      <c r="B6" s="337" t="s">
        <v>149</v>
      </c>
      <c r="C6" s="338"/>
      <c r="D6" s="339"/>
      <c r="E6" s="339"/>
      <c r="F6" s="339"/>
      <c r="G6" s="339"/>
      <c r="H6" s="339"/>
      <c r="I6" s="339"/>
      <c r="J6" s="339"/>
      <c r="K6" s="339"/>
      <c r="L6" s="339"/>
      <c r="M6" s="340"/>
      <c r="N6" s="98" t="s">
        <v>150</v>
      </c>
      <c r="O6" s="373"/>
      <c r="P6" s="374"/>
      <c r="Q6" s="374"/>
      <c r="R6" s="375"/>
      <c r="S6" s="373"/>
      <c r="T6" s="374"/>
      <c r="U6" s="374"/>
      <c r="V6" s="375"/>
    </row>
    <row r="7" spans="2:22" ht="48" customHeight="1">
      <c r="B7" s="337"/>
      <c r="C7" s="341"/>
      <c r="D7" s="342"/>
      <c r="E7" s="342"/>
      <c r="F7" s="342"/>
      <c r="G7" s="342"/>
      <c r="H7" s="342"/>
      <c r="I7" s="342"/>
      <c r="J7" s="342"/>
      <c r="K7" s="342"/>
      <c r="L7" s="342"/>
      <c r="M7" s="343"/>
      <c r="N7" s="98" t="s">
        <v>151</v>
      </c>
      <c r="O7" s="376"/>
      <c r="P7" s="377"/>
      <c r="Q7" s="377"/>
      <c r="R7" s="378"/>
      <c r="S7" s="376"/>
      <c r="T7" s="377"/>
      <c r="U7" s="377"/>
      <c r="V7" s="378"/>
    </row>
    <row r="8" spans="2:22" ht="21.75" customHeight="1">
      <c r="B8" s="337" t="s">
        <v>152</v>
      </c>
      <c r="C8" s="338"/>
      <c r="D8" s="339"/>
      <c r="E8" s="339"/>
      <c r="F8" s="339"/>
      <c r="G8" s="339"/>
      <c r="H8" s="339"/>
      <c r="I8" s="339"/>
      <c r="J8" s="339"/>
      <c r="K8" s="339"/>
      <c r="L8" s="339"/>
      <c r="M8" s="340"/>
      <c r="N8" s="98" t="s">
        <v>153</v>
      </c>
      <c r="O8" s="344"/>
      <c r="P8" s="345"/>
      <c r="Q8" s="345"/>
      <c r="R8" s="346"/>
      <c r="S8" s="344"/>
      <c r="T8" s="345"/>
      <c r="U8" s="345"/>
      <c r="V8" s="346"/>
    </row>
    <row r="9" spans="2:22" ht="45" customHeight="1">
      <c r="B9" s="337"/>
      <c r="C9" s="341"/>
      <c r="D9" s="342"/>
      <c r="E9" s="342"/>
      <c r="F9" s="342"/>
      <c r="G9" s="342"/>
      <c r="H9" s="342"/>
      <c r="I9" s="342"/>
      <c r="J9" s="342"/>
      <c r="K9" s="342"/>
      <c r="L9" s="342"/>
      <c r="M9" s="343"/>
      <c r="N9" s="98" t="s">
        <v>154</v>
      </c>
      <c r="O9" s="344" t="s">
        <v>155</v>
      </c>
      <c r="P9" s="345"/>
      <c r="Q9" s="346"/>
      <c r="R9" s="99" t="s">
        <v>156</v>
      </c>
      <c r="S9" s="344" t="s">
        <v>155</v>
      </c>
      <c r="T9" s="345"/>
      <c r="U9" s="346"/>
      <c r="V9" s="99" t="s">
        <v>156</v>
      </c>
    </row>
    <row r="10" spans="2:22">
      <c r="B10" s="347"/>
      <c r="C10" s="350"/>
      <c r="D10" s="351"/>
      <c r="E10" s="351"/>
      <c r="F10" s="351"/>
      <c r="G10" s="351"/>
      <c r="H10" s="351"/>
      <c r="I10" s="351"/>
      <c r="J10" s="351"/>
      <c r="K10" s="351"/>
      <c r="L10" s="351"/>
      <c r="M10" s="352"/>
      <c r="N10" s="100" t="s">
        <v>157</v>
      </c>
      <c r="O10" s="331">
        <f>COUNTIF($F$23:$F$67997,"用例")+COUNTIF($F$23:$F$67997,"子用例")+COUNTIF($F$23:$F$67997,"新增用例")+COUNTIF($F$23:$F$67997,"子-子用例")</f>
        <v>3</v>
      </c>
      <c r="P10" s="332"/>
      <c r="Q10" s="332"/>
      <c r="R10" s="333"/>
      <c r="S10" s="331">
        <f>COUNTIF($F$23:$F$67997,"用例")+COUNTIF($F$23:$F$67997,"子用例")+COUNTIF($F$23:$F$67997,"新增用例")+COUNTIF($F$23:$F$67997,"子-子用例")</f>
        <v>3</v>
      </c>
      <c r="T10" s="332"/>
      <c r="U10" s="332"/>
      <c r="V10" s="333"/>
    </row>
    <row r="11" spans="2:22">
      <c r="B11" s="348"/>
      <c r="C11" s="353"/>
      <c r="D11" s="354"/>
      <c r="E11" s="354"/>
      <c r="F11" s="354"/>
      <c r="G11" s="354"/>
      <c r="H11" s="354"/>
      <c r="I11" s="354"/>
      <c r="J11" s="354"/>
      <c r="K11" s="354"/>
      <c r="L11" s="354"/>
      <c r="M11" s="355"/>
      <c r="N11" s="100" t="s">
        <v>158</v>
      </c>
      <c r="O11" s="331">
        <f>SUMPRODUCT(($F$22:$F$67997="用例")*(Q22:Q67997="P")*1)+SUMPRODUCT(($F$22:$F$67997="子用例")*(Q22:Q67997="P")*1)+SUMPRODUCT(($F$22:$F$67997="新增用例")*(Q22:Q67997="P")*1)+SUMPRODUCT(($F$22:$F$67997="子-子用例")*(Q22:Q67997="P")*1)</f>
        <v>1</v>
      </c>
      <c r="P11" s="332"/>
      <c r="Q11" s="332"/>
      <c r="R11" s="333"/>
      <c r="S11" s="331">
        <f>SUMPRODUCT(($F$22:$F$67997="用例")*(U22:U67997="P")*1)+SUMPRODUCT(($F$22:$F$67997="子用例")*(U22:U67997="P")*1)+SUMPRODUCT(($F$22:$F$67997="新增用例")*(U22:U67997="P")*1)+SUMPRODUCT(($F$22:$F$67997="子-子用例")*(U22:U67997="P")*1)</f>
        <v>0</v>
      </c>
      <c r="T11" s="332"/>
      <c r="U11" s="332"/>
      <c r="V11" s="333"/>
    </row>
    <row r="12" spans="2:22">
      <c r="B12" s="348"/>
      <c r="C12" s="353"/>
      <c r="D12" s="354"/>
      <c r="E12" s="354"/>
      <c r="F12" s="354"/>
      <c r="G12" s="354"/>
      <c r="H12" s="354"/>
      <c r="I12" s="354"/>
      <c r="J12" s="354"/>
      <c r="K12" s="354"/>
      <c r="L12" s="354"/>
      <c r="M12" s="355"/>
      <c r="N12" s="100" t="s">
        <v>159</v>
      </c>
      <c r="O12" s="331">
        <f>SUMPRODUCT(($F$22:$F$67997="用例")*(Q22:Q67997="F")*1)+SUMPRODUCT(($F$22:$F$67997="子用例")*(Q22:Q67997="F")*1)+SUMPRODUCT(($F$22:$F$67997="新增用例")*(Q22:Q67997="F")*1)+SUMPRODUCT(($F$22:$F$67997="子-子用例")*(Q22:Q67997="F")*1)</f>
        <v>0</v>
      </c>
      <c r="P12" s="332"/>
      <c r="Q12" s="332"/>
      <c r="R12" s="333"/>
      <c r="S12" s="331">
        <f>SUMPRODUCT(($F$22:$F$67997="用例")*(U22:U67997="F")*1)+SUMPRODUCT(($F$22:$F$67997="子用例")*(U22:U67997="F")*1)+SUMPRODUCT(($F$22:$F$67997="新增用例")*(U22:U67997="F")*1)+SUMPRODUCT(($F$22:$F$67997="子-子用例")*(U22:U67997="F")*1)</f>
        <v>0</v>
      </c>
      <c r="T12" s="332"/>
      <c r="U12" s="332"/>
      <c r="V12" s="333"/>
    </row>
    <row r="13" spans="2:22">
      <c r="B13" s="348"/>
      <c r="C13" s="353"/>
      <c r="D13" s="354"/>
      <c r="E13" s="354"/>
      <c r="F13" s="354"/>
      <c r="G13" s="354"/>
      <c r="H13" s="354"/>
      <c r="I13" s="354"/>
      <c r="J13" s="354"/>
      <c r="K13" s="354"/>
      <c r="L13" s="354"/>
      <c r="M13" s="355"/>
      <c r="N13" s="100" t="s">
        <v>160</v>
      </c>
      <c r="O13" s="331">
        <f>SUMPRODUCT(($F$23:$F$67257="用例")*(Q23:Q67257="-")*1)+SUMPRODUCT(($F$23:$F$67257="子用例")*(Q23:Q67257="-")*1)+SUMPRODUCT(($F$23:$F$67257="子-子用例")*(Q23:Q67257="-")*1)+SUMPRODUCT(($F$23:$F$67257="新增用例")*(Q23:Q67257="-")*1)</f>
        <v>2</v>
      </c>
      <c r="P13" s="332"/>
      <c r="Q13" s="332"/>
      <c r="R13" s="333"/>
      <c r="S13" s="331">
        <f>SUMPRODUCT(($F$23:$F$67257="用例")*(U23:U67257="-")*1)+SUMPRODUCT(($F$23:$F$67257="子用例")*(U23:U67257="-")*1)+SUMPRODUCT(($F$23:$F$67257="子-子用例")*(U23:U67257="-")*1)+SUMPRODUCT(($F$23:$F$67257="新增用例")*(U23:U67257="-")*1)</f>
        <v>3</v>
      </c>
      <c r="T13" s="332"/>
      <c r="U13" s="332"/>
      <c r="V13" s="333"/>
    </row>
    <row r="14" spans="2:22">
      <c r="B14" s="348"/>
      <c r="C14" s="353"/>
      <c r="D14" s="354"/>
      <c r="E14" s="354"/>
      <c r="F14" s="354"/>
      <c r="G14" s="354"/>
      <c r="H14" s="354"/>
      <c r="I14" s="354"/>
      <c r="J14" s="354"/>
      <c r="K14" s="354"/>
      <c r="L14" s="354"/>
      <c r="M14" s="355"/>
      <c r="N14" s="100" t="s">
        <v>588</v>
      </c>
      <c r="O14" s="331">
        <f>SUMPRODUCT(($F$23:$F$67257="用例")*(O23:O67257="Y")*1)+SUMPRODUCT(($F$23:$F$67257="子用例")*(O23:O67257="Y")*1)+SUMPRODUCT(($F$23:$F$67257="新增用例")*(O23:O67257="Y")*1)+SUMPRODUCT(($F$23:$F$67257="子-子用例")*(O23:O67257="Y")*1)</f>
        <v>1</v>
      </c>
      <c r="P14" s="332"/>
      <c r="Q14" s="332"/>
      <c r="R14" s="333"/>
      <c r="S14" s="331">
        <f>SUMPRODUCT(($F$23:$F$67257="用例")*(S23:S67257="Y")*1)+SUMPRODUCT(($F$23:$F$67257="子用例")*(S23:S67257="Y")*1)+SUMPRODUCT(($F$23:$F$67257="新增用例")*(S23:S67257="Y")*1)+SUMPRODUCT(($F$23:$F$67257="子-子用例")*(S23:S67257="Y")*1)</f>
        <v>0</v>
      </c>
      <c r="T14" s="332"/>
      <c r="U14" s="332"/>
      <c r="V14" s="333"/>
    </row>
    <row r="15" spans="2:22" ht="13.5" customHeight="1">
      <c r="B15" s="349"/>
      <c r="C15" s="356"/>
      <c r="D15" s="357"/>
      <c r="E15" s="357"/>
      <c r="F15" s="357"/>
      <c r="G15" s="357"/>
      <c r="H15" s="357"/>
      <c r="I15" s="357"/>
      <c r="J15" s="357"/>
      <c r="K15" s="357"/>
      <c r="L15" s="357"/>
      <c r="M15" s="358"/>
      <c r="N15" s="100" t="s">
        <v>161</v>
      </c>
      <c r="O15" s="334">
        <f>SUMPRODUCT(($F$22:$F$61726="新增用例")*(Q22:Q61726="New")*1)</f>
        <v>0</v>
      </c>
      <c r="P15" s="335"/>
      <c r="Q15" s="335"/>
      <c r="R15" s="336"/>
      <c r="S15" s="334">
        <f>SUMPRODUCT(($F$22:$F$61726="新增用例")*(U22:U61726="New")*1)</f>
        <v>0</v>
      </c>
      <c r="T15" s="335"/>
      <c r="U15" s="335"/>
      <c r="V15" s="336"/>
    </row>
    <row r="16" spans="2:22" ht="14.25" customHeight="1">
      <c r="B16" s="320"/>
      <c r="C16" s="322"/>
      <c r="D16" s="323"/>
      <c r="E16" s="323"/>
      <c r="F16" s="323"/>
      <c r="G16" s="323"/>
      <c r="H16" s="323"/>
      <c r="I16" s="323"/>
      <c r="J16" s="323"/>
      <c r="K16" s="323"/>
      <c r="L16" s="323"/>
      <c r="M16" s="324"/>
      <c r="N16" s="101" t="s">
        <v>162</v>
      </c>
      <c r="O16" s="331">
        <f>SUMPRODUCT(($F$22:$F$67997="新增用例")*($H$22:$H$67997="冒烟")*1)+SUMPRODUCT(($F$22:$F$67997="用例")*($H$22:$H$67997="冒烟")*1)+SUMPRODUCT(($F$22:$F$67997="子用例")*($H$22:$H$67997="冒烟")*1)+SUMPRODUCT(($F$22:$F$67997="子-子用例")*($H$22:$H$67997="冒烟")*1)</f>
        <v>1</v>
      </c>
      <c r="P16" s="332"/>
      <c r="Q16" s="332"/>
      <c r="R16" s="333"/>
      <c r="S16" s="331">
        <f>SUMPRODUCT(($F$22:$F$67997="新增用例")*($H$22:$H$67997="冒烟")*1)+SUMPRODUCT(($F$22:$F$67997="用例")*($H$22:$H$67997="冒烟")*1)+SUMPRODUCT(($F$22:$F$67997="子用例")*($H$22:$H$67997="冒烟")*1)+SUMPRODUCT(($F$22:$F$67997="子-子用例")*($H$22:$H$67997="冒烟")*1)</f>
        <v>1</v>
      </c>
      <c r="T16" s="332"/>
      <c r="U16" s="332"/>
      <c r="V16" s="333"/>
    </row>
    <row r="17" spans="2:22">
      <c r="B17" s="320"/>
      <c r="C17" s="325"/>
      <c r="D17" s="326"/>
      <c r="E17" s="326"/>
      <c r="F17" s="326"/>
      <c r="G17" s="326"/>
      <c r="H17" s="326"/>
      <c r="I17" s="326"/>
      <c r="J17" s="326"/>
      <c r="K17" s="326"/>
      <c r="L17" s="326"/>
      <c r="M17" s="327"/>
      <c r="N17" s="101" t="s">
        <v>163</v>
      </c>
      <c r="O17" s="331">
        <f>SUMPRODUCT(($F$22:$F$67997="新增用例")*($H$22:$H$67997="高")*1)+SUMPRODUCT(($F$22:$F$67997="用例")*($H$22:$H$67997="高")*1)+SUMPRODUCT(($F$22:$F$67997="子用例")*($H$22:$H$67997="高")*1)+SUMPRODUCT(($F$22:$F$67997="子-子用例")*($H$22:$H$67997="高")*1)</f>
        <v>0</v>
      </c>
      <c r="P17" s="332"/>
      <c r="Q17" s="332"/>
      <c r="R17" s="333"/>
      <c r="S17" s="331">
        <f>SUMPRODUCT(($F$22:$F$67997="新增用例")*($H$22:$H$67997="高")*1)+SUMPRODUCT(($F$22:$F$67997="用例")*($H$22:$H$67997="高")*1)+SUMPRODUCT(($F$22:$F$67997="子用例")*($H$22:$H$67997="高")*1)+SUMPRODUCT(($F$22:$F$67997="子-子用例")*($H$22:$H$67997="高")*1)</f>
        <v>0</v>
      </c>
      <c r="T17" s="332"/>
      <c r="U17" s="332"/>
      <c r="V17" s="333"/>
    </row>
    <row r="18" spans="2:22">
      <c r="B18" s="320"/>
      <c r="C18" s="325"/>
      <c r="D18" s="326"/>
      <c r="E18" s="326"/>
      <c r="F18" s="326"/>
      <c r="G18" s="326"/>
      <c r="H18" s="326"/>
      <c r="I18" s="326"/>
      <c r="J18" s="326"/>
      <c r="K18" s="326"/>
      <c r="L18" s="326"/>
      <c r="M18" s="327"/>
      <c r="N18" s="101" t="s">
        <v>164</v>
      </c>
      <c r="O18" s="331">
        <f>SUMPRODUCT(($F$22:$F$67997="新增用例")*($H$22:$H$67997="中")*1)+SUMPRODUCT(($F$22:$F$67997="用例")*($H$22:$H$67997="中")*1)+SUMPRODUCT(($F$22:$F$67997="子用例")*($H$22:$H$67997="中")*1)+SUMPRODUCT(($F$22:$F$67997="子-子用例")*($H$22:$H$67997="中")*1)</f>
        <v>1</v>
      </c>
      <c r="P18" s="332"/>
      <c r="Q18" s="332"/>
      <c r="R18" s="333"/>
      <c r="S18" s="331">
        <f>SUMPRODUCT(($F$22:$F$67997="新增用例")*($H$22:$H$67997="中")*1)+SUMPRODUCT(($F$22:$F$67997="用例")*($H$22:$H$67997="中")*1)+SUMPRODUCT(($F$22:$F$67997="子用例")*($H$22:$H$67997="中")*1)+SUMPRODUCT(($F$22:$F$67997="子-子用例")*($H$22:$H$67997="中")*1)</f>
        <v>1</v>
      </c>
      <c r="T18" s="332"/>
      <c r="U18" s="332"/>
      <c r="V18" s="333"/>
    </row>
    <row r="19" spans="2:22">
      <c r="B19" s="321"/>
      <c r="C19" s="328"/>
      <c r="D19" s="329"/>
      <c r="E19" s="329"/>
      <c r="F19" s="329"/>
      <c r="G19" s="329"/>
      <c r="H19" s="329"/>
      <c r="I19" s="329"/>
      <c r="J19" s="329"/>
      <c r="K19" s="329"/>
      <c r="L19" s="329"/>
      <c r="M19" s="330"/>
      <c r="N19" s="101" t="s">
        <v>165</v>
      </c>
      <c r="O19" s="331">
        <f>SUMPRODUCT(($F$22:$F$67997="新增用例")*($H$22:$H$67997="低")*1)+SUMPRODUCT(($F$22:$F$67997="用例")*($H$22:$H$67997="低")*1)+SUMPRODUCT(($F$22:$F$67997="子用例")*($H$22:$H$67997="低")*1)+SUMPRODUCT(($F$22:$F$67997="子-子用例")*($H$22:$H$67997="低")*1)</f>
        <v>1</v>
      </c>
      <c r="P19" s="332"/>
      <c r="Q19" s="332"/>
      <c r="R19" s="333"/>
      <c r="S19" s="331">
        <f>SUMPRODUCT(($F$22:$F$67997="新增用例")*($H$22:$H$67997="低")*1)+SUMPRODUCT(($F$22:$F$67997="用例")*($H$22:$H$67997="低")*1)+SUMPRODUCT(($F$22:$F$67997="子用例")*($H$22:$H$67997="低")*1)+SUMPRODUCT(($F$22:$F$67997="子-子用例")*($H$22:$H$67997="低")*1)</f>
        <v>1</v>
      </c>
      <c r="T19" s="332"/>
      <c r="U19" s="332"/>
      <c r="V19" s="333"/>
    </row>
    <row r="20" spans="2:22">
      <c r="B20" s="102"/>
      <c r="C20" s="102"/>
      <c r="D20" s="102"/>
      <c r="E20" s="102"/>
      <c r="F20" s="307"/>
      <c r="G20" s="308"/>
      <c r="H20" s="308"/>
      <c r="I20" s="308"/>
      <c r="J20" s="308"/>
      <c r="K20" s="308"/>
      <c r="L20" s="308"/>
      <c r="M20" s="309"/>
      <c r="N20" s="101" t="s">
        <v>166</v>
      </c>
      <c r="O20" s="310">
        <f>(O11+O12)/O10</f>
        <v>0.33333333333333331</v>
      </c>
      <c r="P20" s="311"/>
      <c r="Q20" s="311"/>
      <c r="R20" s="312"/>
      <c r="S20" s="310">
        <f>(S11+S12)/S10</f>
        <v>0</v>
      </c>
      <c r="T20" s="311"/>
      <c r="U20" s="311"/>
      <c r="V20" s="312"/>
    </row>
    <row r="21" spans="2:22" ht="33.75" customHeight="1">
      <c r="B21" s="103" t="s">
        <v>167</v>
      </c>
      <c r="C21" s="103" t="s">
        <v>168</v>
      </c>
      <c r="D21" s="103" t="s">
        <v>9</v>
      </c>
      <c r="E21" s="103" t="s">
        <v>169</v>
      </c>
      <c r="F21" s="103" t="s">
        <v>199</v>
      </c>
      <c r="G21" s="103" t="s">
        <v>170</v>
      </c>
      <c r="H21" s="107" t="s">
        <v>171</v>
      </c>
      <c r="I21" s="107" t="s">
        <v>172</v>
      </c>
      <c r="J21" s="105" t="s">
        <v>173</v>
      </c>
      <c r="K21" s="106" t="s">
        <v>174</v>
      </c>
      <c r="L21" s="103" t="s">
        <v>175</v>
      </c>
      <c r="M21" s="313" t="s">
        <v>176</v>
      </c>
      <c r="N21" s="314"/>
      <c r="O21" s="103" t="s">
        <v>7</v>
      </c>
      <c r="P21" s="103" t="s">
        <v>8</v>
      </c>
      <c r="Q21" s="103" t="s">
        <v>177</v>
      </c>
      <c r="R21" s="103" t="s">
        <v>178</v>
      </c>
      <c r="S21" s="103" t="s">
        <v>7</v>
      </c>
      <c r="T21" s="103" t="s">
        <v>8</v>
      </c>
      <c r="U21" s="103" t="s">
        <v>177</v>
      </c>
      <c r="V21" s="103" t="s">
        <v>178</v>
      </c>
    </row>
    <row r="22" spans="2:22" ht="91.5" customHeight="1">
      <c r="B22" s="108" t="s">
        <v>179</v>
      </c>
      <c r="C22" s="108" t="s">
        <v>180</v>
      </c>
      <c r="D22" s="108" t="s">
        <v>181</v>
      </c>
      <c r="E22" s="108" t="s">
        <v>182</v>
      </c>
      <c r="F22" s="109"/>
      <c r="G22" s="110"/>
      <c r="H22" s="111" t="s">
        <v>183</v>
      </c>
      <c r="I22" s="111" t="s">
        <v>184</v>
      </c>
      <c r="J22" s="112"/>
      <c r="K22" s="113"/>
      <c r="L22" s="110"/>
      <c r="M22" s="315"/>
      <c r="N22" s="316"/>
      <c r="O22" s="108" t="s">
        <v>185</v>
      </c>
      <c r="P22" s="108" t="s">
        <v>186</v>
      </c>
      <c r="Q22" s="112" t="s">
        <v>589</v>
      </c>
      <c r="R22" s="108"/>
      <c r="S22" s="108" t="s">
        <v>185</v>
      </c>
      <c r="T22" s="108" t="s">
        <v>186</v>
      </c>
      <c r="U22" s="112" t="s">
        <v>589</v>
      </c>
      <c r="V22" s="108"/>
    </row>
    <row r="23" spans="2:22" ht="27" customHeight="1">
      <c r="B23" s="317" t="s">
        <v>591</v>
      </c>
      <c r="C23" s="317"/>
      <c r="D23" s="317"/>
      <c r="E23" s="317"/>
      <c r="F23" s="318"/>
      <c r="G23" s="318"/>
      <c r="H23" s="318"/>
      <c r="I23" s="318"/>
      <c r="J23" s="318"/>
      <c r="K23" s="318"/>
      <c r="L23" s="318"/>
      <c r="M23" s="318"/>
      <c r="N23" s="319"/>
      <c r="O23" s="114"/>
      <c r="P23" s="114"/>
      <c r="Q23" s="114"/>
      <c r="R23" s="114"/>
      <c r="S23" s="114"/>
      <c r="T23" s="114"/>
      <c r="U23" s="114"/>
      <c r="V23" s="114"/>
    </row>
    <row r="24" spans="2:22" ht="24" customHeight="1" outlineLevel="1">
      <c r="B24" s="275" t="s">
        <v>592</v>
      </c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6"/>
      <c r="O24" s="115"/>
      <c r="P24" s="115"/>
      <c r="Q24" s="115"/>
      <c r="R24" s="115"/>
      <c r="S24" s="115"/>
      <c r="T24" s="115"/>
      <c r="U24" s="115"/>
      <c r="V24" s="115"/>
    </row>
    <row r="25" spans="2:22" ht="252" customHeight="1" outlineLevel="4">
      <c r="B25" s="116" t="s">
        <v>603</v>
      </c>
      <c r="C25" s="116" t="s">
        <v>604</v>
      </c>
      <c r="D25" s="116" t="s">
        <v>190</v>
      </c>
      <c r="E25" s="116" t="s">
        <v>191</v>
      </c>
      <c r="F25" s="117" t="s">
        <v>192</v>
      </c>
      <c r="G25" s="139" t="s">
        <v>596</v>
      </c>
      <c r="H25" s="119" t="s">
        <v>233</v>
      </c>
      <c r="I25" s="119" t="s">
        <v>195</v>
      </c>
      <c r="J25" s="193" t="s">
        <v>597</v>
      </c>
      <c r="K25" s="139" t="s">
        <v>598</v>
      </c>
      <c r="L25" s="122" t="s">
        <v>599</v>
      </c>
      <c r="M25" s="287" t="s">
        <v>600</v>
      </c>
      <c r="N25" s="287"/>
      <c r="O25" s="123" t="s">
        <v>601</v>
      </c>
      <c r="P25" s="124"/>
      <c r="Q25" s="125" t="s">
        <v>602</v>
      </c>
      <c r="R25" s="124"/>
      <c r="S25" s="123" t="s">
        <v>198</v>
      </c>
      <c r="T25" s="124"/>
      <c r="U25" s="125" t="s">
        <v>50</v>
      </c>
      <c r="V25" s="124"/>
    </row>
    <row r="26" spans="2:22" ht="24" customHeight="1" outlineLevel="1">
      <c r="B26" s="275" t="s">
        <v>593</v>
      </c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6"/>
      <c r="O26" s="115"/>
      <c r="P26" s="115"/>
      <c r="Q26" s="115"/>
      <c r="R26" s="115"/>
      <c r="S26" s="115"/>
      <c r="T26" s="115"/>
      <c r="U26" s="115"/>
      <c r="V26" s="115"/>
    </row>
    <row r="27" spans="2:22" s="147" customFormat="1" ht="89.25" customHeight="1" outlineLevel="4">
      <c r="B27" s="141"/>
      <c r="C27" s="141"/>
      <c r="D27" s="141"/>
      <c r="E27" s="141"/>
      <c r="F27" s="142" t="s">
        <v>231</v>
      </c>
      <c r="G27" s="143" t="s">
        <v>317</v>
      </c>
      <c r="H27" s="144" t="s">
        <v>194</v>
      </c>
      <c r="I27" s="119" t="s">
        <v>195</v>
      </c>
      <c r="J27" s="145"/>
      <c r="K27" s="146">
        <f>(463/60)*3.6*(3.14/12.519)*(2*359/1000)</f>
        <v>5.0028409297867249</v>
      </c>
      <c r="L27" s="143"/>
      <c r="M27" s="268"/>
      <c r="N27" s="268"/>
      <c r="O27" s="123" t="s">
        <v>198</v>
      </c>
      <c r="P27" s="124"/>
      <c r="Q27" s="125" t="s">
        <v>50</v>
      </c>
      <c r="R27" s="124"/>
      <c r="S27" s="123" t="s">
        <v>198</v>
      </c>
      <c r="T27" s="124"/>
      <c r="U27" s="125" t="s">
        <v>50</v>
      </c>
      <c r="V27" s="124"/>
    </row>
    <row r="28" spans="2:22" ht="24" customHeight="1" outlineLevel="1">
      <c r="B28" s="275" t="s">
        <v>594</v>
      </c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6"/>
      <c r="O28" s="115"/>
      <c r="P28" s="115"/>
      <c r="Q28" s="115"/>
      <c r="R28" s="115"/>
      <c r="S28" s="115"/>
      <c r="T28" s="115"/>
      <c r="U28" s="115"/>
      <c r="V28" s="115"/>
    </row>
    <row r="29" spans="2:22" s="147" customFormat="1" ht="99.95" customHeight="1" outlineLevel="4">
      <c r="B29" s="154"/>
      <c r="C29" s="141"/>
      <c r="D29" s="116"/>
      <c r="E29" s="116"/>
      <c r="F29" s="117"/>
      <c r="G29" s="141"/>
      <c r="H29" s="144"/>
      <c r="I29" s="119"/>
      <c r="J29" s="153"/>
      <c r="K29" s="143"/>
      <c r="L29" s="143"/>
      <c r="M29" s="266"/>
      <c r="N29" s="267"/>
      <c r="O29" s="123"/>
      <c r="P29" s="124"/>
      <c r="Q29" s="125" t="s">
        <v>602</v>
      </c>
      <c r="R29" s="124"/>
      <c r="S29" s="123"/>
      <c r="T29" s="124"/>
      <c r="U29" s="125"/>
      <c r="V29" s="124"/>
    </row>
    <row r="30" spans="2:22" s="147" customFormat="1" ht="99.95" customHeight="1" outlineLevel="4">
      <c r="B30" s="154"/>
      <c r="C30" s="141"/>
      <c r="D30" s="154"/>
      <c r="E30" s="154"/>
      <c r="F30" s="155"/>
      <c r="G30" s="141"/>
      <c r="H30" s="144"/>
      <c r="I30" s="119"/>
      <c r="J30" s="153"/>
      <c r="K30" s="143"/>
      <c r="L30" s="143"/>
      <c r="M30" s="266"/>
      <c r="N30" s="267"/>
      <c r="O30" s="123"/>
      <c r="P30" s="124"/>
      <c r="Q30" s="125"/>
      <c r="R30" s="124"/>
      <c r="S30" s="123"/>
      <c r="T30" s="124"/>
      <c r="U30" s="125"/>
      <c r="V30" s="124"/>
    </row>
    <row r="31" spans="2:22" s="147" customFormat="1" ht="99.95" customHeight="1" outlineLevel="4">
      <c r="B31" s="154"/>
      <c r="C31" s="141"/>
      <c r="D31" s="154"/>
      <c r="E31" s="154"/>
      <c r="F31" s="155"/>
      <c r="G31" s="141"/>
      <c r="H31" s="144"/>
      <c r="I31" s="119"/>
      <c r="J31" s="153"/>
      <c r="K31" s="143"/>
      <c r="L31" s="143"/>
      <c r="M31" s="266"/>
      <c r="N31" s="267"/>
      <c r="O31" s="123"/>
      <c r="P31" s="124"/>
      <c r="Q31" s="125"/>
      <c r="R31" s="124"/>
      <c r="S31" s="123"/>
      <c r="T31" s="124"/>
      <c r="U31" s="125"/>
      <c r="V31" s="124"/>
    </row>
    <row r="32" spans="2:22" s="147" customFormat="1" ht="99.95" customHeight="1" outlineLevel="4">
      <c r="B32" s="154"/>
      <c r="C32" s="141"/>
      <c r="D32" s="154"/>
      <c r="E32" s="154"/>
      <c r="F32" s="155"/>
      <c r="G32" s="141"/>
      <c r="H32" s="144"/>
      <c r="I32" s="119"/>
      <c r="J32" s="153"/>
      <c r="K32" s="143"/>
      <c r="L32" s="143"/>
      <c r="M32" s="266"/>
      <c r="N32" s="267"/>
      <c r="O32" s="123"/>
      <c r="P32" s="124"/>
      <c r="Q32" s="125"/>
      <c r="R32" s="124"/>
      <c r="S32" s="123"/>
      <c r="T32" s="124"/>
      <c r="U32" s="125"/>
      <c r="V32" s="124"/>
    </row>
    <row r="33" spans="2:22" s="147" customFormat="1" ht="99.95" customHeight="1" outlineLevel="4">
      <c r="B33" s="154"/>
      <c r="C33" s="141"/>
      <c r="D33" s="154"/>
      <c r="E33" s="154"/>
      <c r="F33" s="155"/>
      <c r="G33" s="141"/>
      <c r="H33" s="144"/>
      <c r="I33" s="119"/>
      <c r="J33" s="153"/>
      <c r="K33" s="143"/>
      <c r="L33" s="143"/>
      <c r="M33" s="266"/>
      <c r="N33" s="267"/>
      <c r="O33" s="123"/>
      <c r="P33" s="124"/>
      <c r="Q33" s="125"/>
      <c r="R33" s="124"/>
      <c r="S33" s="123"/>
      <c r="T33" s="124"/>
      <c r="U33" s="125"/>
      <c r="V33" s="124"/>
    </row>
    <row r="34" spans="2:22" s="147" customFormat="1" ht="99.95" customHeight="1" outlineLevel="4">
      <c r="B34" s="154"/>
      <c r="C34" s="141"/>
      <c r="D34" s="154"/>
      <c r="E34" s="154"/>
      <c r="F34" s="155"/>
      <c r="G34" s="141"/>
      <c r="H34" s="144"/>
      <c r="I34" s="119"/>
      <c r="J34" s="153"/>
      <c r="K34" s="143"/>
      <c r="L34" s="143"/>
      <c r="M34" s="266"/>
      <c r="N34" s="267"/>
      <c r="O34" s="123"/>
      <c r="P34" s="124"/>
      <c r="Q34" s="125"/>
      <c r="R34" s="124"/>
      <c r="S34" s="123"/>
      <c r="T34" s="124"/>
      <c r="U34" s="125"/>
      <c r="V34" s="124"/>
    </row>
    <row r="35" spans="2:22" s="147" customFormat="1" ht="99.95" customHeight="1" outlineLevel="4">
      <c r="B35" s="154"/>
      <c r="C35" s="141"/>
      <c r="D35" s="154"/>
      <c r="E35" s="154"/>
      <c r="F35" s="155"/>
      <c r="G35" s="141"/>
      <c r="H35" s="144"/>
      <c r="I35" s="119"/>
      <c r="J35" s="153"/>
      <c r="K35" s="143"/>
      <c r="L35" s="143"/>
      <c r="M35" s="266"/>
      <c r="N35" s="267"/>
      <c r="O35" s="123"/>
      <c r="P35" s="124"/>
      <c r="Q35" s="125"/>
      <c r="R35" s="124"/>
      <c r="S35" s="123"/>
      <c r="T35" s="124"/>
      <c r="U35" s="125"/>
      <c r="V35" s="124"/>
    </row>
    <row r="36" spans="2:22" s="147" customFormat="1" ht="99.95" customHeight="1" outlineLevel="4">
      <c r="B36" s="154"/>
      <c r="C36" s="141"/>
      <c r="D36" s="154"/>
      <c r="E36" s="154"/>
      <c r="F36" s="155"/>
      <c r="G36" s="141"/>
      <c r="H36" s="144"/>
      <c r="I36" s="119"/>
      <c r="J36" s="153"/>
      <c r="K36" s="143"/>
      <c r="L36" s="143"/>
      <c r="M36" s="266"/>
      <c r="N36" s="267"/>
      <c r="O36" s="123"/>
      <c r="P36" s="124"/>
      <c r="Q36" s="125"/>
      <c r="R36" s="124"/>
      <c r="S36" s="123"/>
      <c r="T36" s="124"/>
      <c r="U36" s="125"/>
      <c r="V36" s="124"/>
    </row>
    <row r="37" spans="2:22" s="147" customFormat="1" ht="99.95" customHeight="1" outlineLevel="4">
      <c r="B37" s="154"/>
      <c r="C37" s="141"/>
      <c r="D37" s="154"/>
      <c r="E37" s="154"/>
      <c r="F37" s="155"/>
      <c r="G37" s="141"/>
      <c r="H37" s="144"/>
      <c r="I37" s="119"/>
      <c r="J37" s="153"/>
      <c r="K37" s="143"/>
      <c r="L37" s="143"/>
      <c r="M37" s="266"/>
      <c r="N37" s="267"/>
      <c r="O37" s="123"/>
      <c r="P37" s="124"/>
      <c r="Q37" s="125"/>
      <c r="R37" s="124"/>
      <c r="S37" s="123"/>
      <c r="T37" s="124"/>
      <c r="U37" s="125"/>
      <c r="V37" s="124"/>
    </row>
    <row r="38" spans="2:22" s="147" customFormat="1" ht="99.95" customHeight="1" outlineLevel="4">
      <c r="B38" s="154"/>
      <c r="C38" s="141"/>
      <c r="D38" s="154"/>
      <c r="E38" s="154"/>
      <c r="F38" s="155"/>
      <c r="G38" s="141"/>
      <c r="H38" s="144"/>
      <c r="I38" s="119"/>
      <c r="J38" s="153"/>
      <c r="K38" s="143"/>
      <c r="L38" s="143"/>
      <c r="M38" s="266"/>
      <c r="N38" s="267"/>
      <c r="O38" s="123"/>
      <c r="P38" s="124"/>
      <c r="Q38" s="125"/>
      <c r="R38" s="124"/>
      <c r="S38" s="123"/>
      <c r="T38" s="124"/>
      <c r="U38" s="125"/>
      <c r="V38" s="124"/>
    </row>
    <row r="39" spans="2:22" s="147" customFormat="1" ht="99.95" customHeight="1" outlineLevel="4">
      <c r="B39" s="154"/>
      <c r="C39" s="141"/>
      <c r="D39" s="154"/>
      <c r="E39" s="154"/>
      <c r="F39" s="155"/>
      <c r="G39" s="141"/>
      <c r="H39" s="144"/>
      <c r="I39" s="119"/>
      <c r="J39" s="153"/>
      <c r="K39" s="143"/>
      <c r="L39" s="143"/>
      <c r="M39" s="266"/>
      <c r="N39" s="267"/>
      <c r="O39" s="123"/>
      <c r="P39" s="124"/>
      <c r="Q39" s="125"/>
      <c r="R39" s="124"/>
      <c r="S39" s="123"/>
      <c r="T39" s="124"/>
      <c r="U39" s="125"/>
      <c r="V39" s="124"/>
    </row>
    <row r="40" spans="2:22" s="147" customFormat="1" ht="99.95" customHeight="1" outlineLevel="4">
      <c r="B40" s="154"/>
      <c r="C40" s="141"/>
      <c r="D40" s="154"/>
      <c r="E40" s="154"/>
      <c r="F40" s="155"/>
      <c r="G40" s="141"/>
      <c r="H40" s="144"/>
      <c r="I40" s="119"/>
      <c r="J40" s="153"/>
      <c r="K40" s="143"/>
      <c r="L40" s="143"/>
      <c r="M40" s="266"/>
      <c r="N40" s="267"/>
      <c r="O40" s="123"/>
      <c r="P40" s="124"/>
      <c r="Q40" s="125"/>
      <c r="R40" s="124"/>
      <c r="S40" s="123"/>
      <c r="T40" s="124"/>
      <c r="U40" s="125"/>
      <c r="V40" s="124"/>
    </row>
    <row r="41" spans="2:22" s="147" customFormat="1" ht="99.95" customHeight="1" outlineLevel="4">
      <c r="B41" s="154"/>
      <c r="C41" s="141"/>
      <c r="D41" s="154"/>
      <c r="E41" s="154"/>
      <c r="F41" s="155"/>
      <c r="G41" s="141"/>
      <c r="H41" s="144"/>
      <c r="I41" s="119"/>
      <c r="J41" s="153"/>
      <c r="K41" s="143"/>
      <c r="L41" s="143"/>
      <c r="M41" s="266"/>
      <c r="N41" s="267"/>
      <c r="O41" s="123"/>
      <c r="P41" s="124"/>
      <c r="Q41" s="125"/>
      <c r="R41" s="124"/>
      <c r="S41" s="123"/>
      <c r="T41" s="124"/>
      <c r="U41" s="125"/>
      <c r="V41" s="124"/>
    </row>
    <row r="42" spans="2:22" s="147" customFormat="1" ht="99.95" customHeight="1" outlineLevel="4">
      <c r="B42" s="154"/>
      <c r="C42" s="141"/>
      <c r="D42" s="154"/>
      <c r="E42" s="154"/>
      <c r="F42" s="155"/>
      <c r="G42" s="141"/>
      <c r="H42" s="144"/>
      <c r="I42" s="119"/>
      <c r="J42" s="153"/>
      <c r="K42" s="143"/>
      <c r="L42" s="143"/>
      <c r="M42" s="266"/>
      <c r="N42" s="267"/>
      <c r="O42" s="123"/>
      <c r="P42" s="124"/>
      <c r="Q42" s="125"/>
      <c r="R42" s="124"/>
      <c r="S42" s="123"/>
      <c r="T42" s="124"/>
      <c r="U42" s="125"/>
      <c r="V42" s="124"/>
    </row>
    <row r="43" spans="2:22" s="147" customFormat="1" ht="99.95" customHeight="1" outlineLevel="4">
      <c r="B43" s="154"/>
      <c r="C43" s="141"/>
      <c r="D43" s="154"/>
      <c r="E43" s="154"/>
      <c r="F43" s="155"/>
      <c r="G43" s="141"/>
      <c r="H43" s="144"/>
      <c r="I43" s="119"/>
      <c r="J43" s="153"/>
      <c r="K43" s="143"/>
      <c r="L43" s="143"/>
      <c r="M43" s="266"/>
      <c r="N43" s="267"/>
      <c r="O43" s="123"/>
      <c r="P43" s="124"/>
      <c r="Q43" s="125"/>
      <c r="R43" s="124"/>
      <c r="S43" s="123"/>
      <c r="T43" s="124"/>
      <c r="U43" s="125"/>
      <c r="V43" s="124"/>
    </row>
    <row r="44" spans="2:22" s="147" customFormat="1" ht="99.95" customHeight="1" outlineLevel="4">
      <c r="B44" s="154"/>
      <c r="C44" s="141"/>
      <c r="D44" s="154"/>
      <c r="E44" s="154"/>
      <c r="F44" s="155"/>
      <c r="G44" s="141"/>
      <c r="H44" s="144"/>
      <c r="I44" s="119"/>
      <c r="J44" s="153"/>
      <c r="K44" s="143"/>
      <c r="L44" s="143"/>
      <c r="M44" s="266"/>
      <c r="N44" s="267"/>
      <c r="O44" s="123"/>
      <c r="P44" s="124"/>
      <c r="Q44" s="125"/>
      <c r="R44" s="124"/>
      <c r="S44" s="123"/>
      <c r="T44" s="124"/>
      <c r="U44" s="125"/>
      <c r="V44" s="124"/>
    </row>
    <row r="45" spans="2:22" s="147" customFormat="1" ht="99.95" customHeight="1" outlineLevel="4">
      <c r="B45" s="154"/>
      <c r="C45" s="141"/>
      <c r="D45" s="154"/>
      <c r="E45" s="154"/>
      <c r="F45" s="155"/>
      <c r="G45" s="141"/>
      <c r="H45" s="144"/>
      <c r="I45" s="119"/>
      <c r="J45" s="153"/>
      <c r="K45" s="143"/>
      <c r="L45" s="143"/>
      <c r="M45" s="266"/>
      <c r="N45" s="267"/>
      <c r="O45" s="123"/>
      <c r="P45" s="124"/>
      <c r="Q45" s="125"/>
      <c r="R45" s="124"/>
      <c r="S45" s="123" t="s">
        <v>198</v>
      </c>
      <c r="T45" s="124"/>
      <c r="U45" s="125" t="s">
        <v>50</v>
      </c>
      <c r="V45" s="124"/>
    </row>
    <row r="46" spans="2:22" s="147" customFormat="1" ht="99.95" customHeight="1" outlineLevel="4">
      <c r="B46" s="154"/>
      <c r="C46" s="141"/>
      <c r="D46" s="154"/>
      <c r="E46" s="154"/>
      <c r="F46" s="155"/>
      <c r="G46" s="141"/>
      <c r="H46" s="144"/>
      <c r="I46" s="119"/>
      <c r="J46" s="153"/>
      <c r="K46" s="143"/>
      <c r="L46" s="143"/>
      <c r="M46" s="266"/>
      <c r="N46" s="267"/>
      <c r="O46" s="123"/>
      <c r="P46" s="380"/>
      <c r="Q46" s="381"/>
      <c r="R46" s="380"/>
      <c r="S46" s="379"/>
      <c r="T46" s="380"/>
      <c r="U46" s="381"/>
      <c r="V46" s="380"/>
    </row>
    <row r="47" spans="2:22" s="147" customFormat="1" ht="99.95" customHeight="1" outlineLevel="4">
      <c r="B47" s="154"/>
      <c r="C47" s="141"/>
      <c r="D47" s="154"/>
      <c r="E47" s="154"/>
      <c r="F47" s="155"/>
      <c r="G47" s="141"/>
      <c r="H47" s="144"/>
      <c r="I47" s="119"/>
      <c r="J47" s="153"/>
      <c r="K47" s="143"/>
      <c r="L47" s="143"/>
      <c r="M47" s="266"/>
      <c r="N47" s="267"/>
      <c r="O47" s="123"/>
      <c r="P47" s="380"/>
      <c r="Q47" s="381"/>
      <c r="R47" s="380"/>
      <c r="S47" s="379"/>
      <c r="T47" s="380"/>
      <c r="U47" s="381"/>
      <c r="V47" s="380"/>
    </row>
    <row r="48" spans="2:22" s="147" customFormat="1" ht="99.95" customHeight="1" outlineLevel="4">
      <c r="B48" s="141"/>
      <c r="C48" s="141"/>
      <c r="D48" s="141"/>
      <c r="E48" s="141"/>
      <c r="F48" s="142"/>
      <c r="G48" s="141"/>
      <c r="H48" s="144"/>
      <c r="I48" s="119"/>
      <c r="J48" s="153"/>
      <c r="K48" s="143"/>
      <c r="L48" s="143"/>
      <c r="M48" s="266"/>
      <c r="N48" s="267"/>
      <c r="O48" s="123"/>
      <c r="P48" s="150"/>
      <c r="Q48" s="381"/>
      <c r="R48" s="150"/>
      <c r="S48" s="123" t="s">
        <v>198</v>
      </c>
      <c r="T48" s="150"/>
      <c r="U48" s="158" t="s">
        <v>50</v>
      </c>
      <c r="V48" s="150"/>
    </row>
    <row r="49" spans="2:22" ht="24" customHeight="1" outlineLevel="1">
      <c r="B49" s="276" t="s">
        <v>595</v>
      </c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115"/>
      <c r="P49" s="115"/>
      <c r="Q49" s="115"/>
      <c r="R49" s="115"/>
      <c r="S49" s="115"/>
      <c r="T49" s="115"/>
      <c r="U49" s="115"/>
      <c r="V49" s="115"/>
    </row>
    <row r="50" spans="2:22" s="182" customFormat="1" ht="47.25" customHeight="1" outlineLevel="4">
      <c r="B50" s="175"/>
      <c r="C50" s="175"/>
      <c r="D50" s="175"/>
      <c r="E50" s="175"/>
      <c r="F50" s="176" t="s">
        <v>231</v>
      </c>
      <c r="G50" s="177" t="s">
        <v>573</v>
      </c>
      <c r="H50" s="178" t="s">
        <v>283</v>
      </c>
      <c r="I50" s="119" t="s">
        <v>195</v>
      </c>
      <c r="J50" s="179"/>
      <c r="K50" s="177"/>
      <c r="L50" s="177"/>
      <c r="M50" s="382"/>
      <c r="N50" s="383"/>
      <c r="O50" s="123" t="s">
        <v>198</v>
      </c>
      <c r="P50" s="180"/>
      <c r="Q50" s="181" t="s">
        <v>50</v>
      </c>
      <c r="R50" s="180"/>
      <c r="S50" s="123" t="s">
        <v>198</v>
      </c>
      <c r="T50" s="180"/>
      <c r="U50" s="181" t="s">
        <v>50</v>
      </c>
      <c r="V50" s="180"/>
    </row>
    <row r="51" spans="2:22">
      <c r="J51" s="138"/>
      <c r="L51" s="97"/>
    </row>
    <row r="52" spans="2:22">
      <c r="J52" s="138"/>
      <c r="L52" s="97"/>
    </row>
    <row r="53" spans="2:22">
      <c r="J53" s="138"/>
      <c r="L53" s="97"/>
    </row>
    <row r="54" spans="2:22">
      <c r="J54" s="138"/>
      <c r="L54" s="97"/>
    </row>
    <row r="55" spans="2:22">
      <c r="J55" s="138"/>
      <c r="L55" s="97"/>
    </row>
    <row r="56" spans="2:22">
      <c r="J56" s="138"/>
      <c r="L56" s="97"/>
    </row>
    <row r="57" spans="2:22">
      <c r="J57" s="138"/>
      <c r="L57" s="97"/>
    </row>
    <row r="58" spans="2:22">
      <c r="J58" s="138"/>
      <c r="L58" s="97"/>
    </row>
    <row r="59" spans="2:22">
      <c r="J59" s="138"/>
      <c r="L59" s="97"/>
    </row>
    <row r="60" spans="2:22">
      <c r="J60" s="138"/>
      <c r="L60" s="97"/>
    </row>
    <row r="61" spans="2:22">
      <c r="J61" s="138"/>
      <c r="L61" s="97"/>
    </row>
    <row r="62" spans="2:22">
      <c r="J62" s="138"/>
      <c r="L62" s="97"/>
    </row>
    <row r="63" spans="2:22">
      <c r="J63" s="138"/>
      <c r="L63" s="97"/>
    </row>
    <row r="64" spans="2:22">
      <c r="J64" s="138"/>
      <c r="L64" s="97"/>
    </row>
    <row r="65" spans="10:12">
      <c r="J65" s="138"/>
      <c r="L65" s="97"/>
    </row>
    <row r="66" spans="10:12">
      <c r="J66" s="138"/>
      <c r="L66" s="97"/>
    </row>
    <row r="67" spans="10:12">
      <c r="J67" s="138"/>
      <c r="L67" s="97"/>
    </row>
    <row r="68" spans="10:12">
      <c r="J68" s="138"/>
      <c r="L68" s="97"/>
    </row>
    <row r="69" spans="10:12">
      <c r="J69" s="138"/>
      <c r="L69" s="97"/>
    </row>
    <row r="70" spans="10:12">
      <c r="J70" s="138"/>
      <c r="L70" s="97"/>
    </row>
    <row r="71" spans="10:12">
      <c r="J71" s="138"/>
      <c r="L71" s="97"/>
    </row>
    <row r="72" spans="10:12">
      <c r="J72" s="138"/>
      <c r="L72" s="97"/>
    </row>
    <row r="73" spans="10:12">
      <c r="J73" s="138"/>
      <c r="L73" s="97"/>
    </row>
    <row r="74" spans="10:12">
      <c r="J74" s="138"/>
      <c r="L74" s="97"/>
    </row>
    <row r="75" spans="10:12">
      <c r="J75" s="138"/>
      <c r="L75" s="97"/>
    </row>
    <row r="76" spans="10:12">
      <c r="J76" s="138"/>
      <c r="L76" s="97"/>
    </row>
    <row r="77" spans="10:12">
      <c r="J77" s="138"/>
      <c r="L77" s="97"/>
    </row>
    <row r="78" spans="10:12">
      <c r="J78" s="138"/>
      <c r="L78" s="97"/>
    </row>
    <row r="79" spans="10:12">
      <c r="J79" s="138"/>
      <c r="L79" s="97"/>
    </row>
    <row r="80" spans="10:12">
      <c r="J80" s="138"/>
      <c r="L80" s="97"/>
    </row>
    <row r="81" spans="10:12">
      <c r="J81" s="138"/>
      <c r="L81" s="97"/>
    </row>
    <row r="82" spans="10:12">
      <c r="J82" s="138"/>
      <c r="L82" s="97"/>
    </row>
    <row r="83" spans="10:12">
      <c r="J83" s="138"/>
      <c r="L83" s="97"/>
    </row>
    <row r="84" spans="10:12">
      <c r="J84" s="138"/>
      <c r="L84" s="97"/>
    </row>
    <row r="85" spans="10:12">
      <c r="J85" s="138"/>
      <c r="L85" s="97"/>
    </row>
    <row r="86" spans="10:12">
      <c r="J86" s="138"/>
      <c r="L86" s="97"/>
    </row>
    <row r="87" spans="10:12">
      <c r="J87" s="138"/>
      <c r="L87" s="97"/>
    </row>
    <row r="88" spans="10:12">
      <c r="J88" s="138"/>
      <c r="L88" s="97"/>
    </row>
    <row r="89" spans="10:12">
      <c r="J89" s="138"/>
      <c r="L89" s="97"/>
    </row>
    <row r="90" spans="10:12">
      <c r="J90" s="138"/>
      <c r="L90" s="97"/>
    </row>
    <row r="91" spans="10:12">
      <c r="J91" s="138"/>
      <c r="L91" s="97"/>
    </row>
    <row r="92" spans="10:12">
      <c r="J92" s="138"/>
      <c r="L92" s="97"/>
    </row>
    <row r="93" spans="10:12">
      <c r="J93" s="138"/>
      <c r="L93" s="97"/>
    </row>
    <row r="94" spans="10:12">
      <c r="J94" s="138"/>
      <c r="L94" s="97"/>
    </row>
    <row r="95" spans="10:12">
      <c r="J95" s="138"/>
      <c r="L95" s="97"/>
    </row>
    <row r="96" spans="10:12">
      <c r="J96" s="138"/>
      <c r="L96" s="97"/>
    </row>
    <row r="97" spans="10:12">
      <c r="J97" s="138"/>
      <c r="L97" s="97"/>
    </row>
    <row r="98" spans="10:12">
      <c r="J98" s="138"/>
      <c r="L98" s="97"/>
    </row>
    <row r="99" spans="10:12">
      <c r="J99" s="138"/>
      <c r="L99" s="97"/>
    </row>
    <row r="100" spans="10:12">
      <c r="J100" s="138"/>
      <c r="L100" s="97"/>
    </row>
    <row r="101" spans="10:12">
      <c r="J101" s="138"/>
      <c r="L101" s="97"/>
    </row>
    <row r="102" spans="10:12">
      <c r="J102" s="138"/>
      <c r="L102" s="97"/>
    </row>
    <row r="103" spans="10:12">
      <c r="J103" s="138"/>
      <c r="L103" s="97"/>
    </row>
    <row r="104" spans="10:12">
      <c r="J104" s="138"/>
      <c r="L104" s="97"/>
    </row>
    <row r="105" spans="10:12">
      <c r="J105" s="138"/>
      <c r="L105" s="97"/>
    </row>
    <row r="106" spans="10:12">
      <c r="J106" s="138"/>
      <c r="L106" s="97"/>
    </row>
    <row r="107" spans="10:12">
      <c r="J107" s="138"/>
      <c r="L107" s="97"/>
    </row>
    <row r="108" spans="10:12">
      <c r="J108" s="138"/>
      <c r="L108" s="97"/>
    </row>
    <row r="109" spans="10:12">
      <c r="J109" s="138"/>
      <c r="L109" s="97"/>
    </row>
    <row r="110" spans="10:12">
      <c r="J110" s="138"/>
      <c r="L110" s="97"/>
    </row>
    <row r="111" spans="10:12">
      <c r="J111" s="138"/>
      <c r="L111" s="97"/>
    </row>
    <row r="112" spans="10:12">
      <c r="J112" s="138"/>
      <c r="L112" s="97"/>
    </row>
    <row r="113" spans="10:12">
      <c r="J113" s="138"/>
      <c r="L113" s="97"/>
    </row>
    <row r="114" spans="10:12">
      <c r="J114" s="138"/>
      <c r="L114" s="97"/>
    </row>
    <row r="115" spans="10:12">
      <c r="J115" s="138"/>
      <c r="L115" s="97"/>
    </row>
    <row r="116" spans="10:12">
      <c r="J116" s="138"/>
      <c r="L116" s="97"/>
    </row>
    <row r="117" spans="10:12">
      <c r="J117" s="138"/>
      <c r="L117" s="97"/>
    </row>
    <row r="118" spans="10:12">
      <c r="J118" s="138"/>
      <c r="L118" s="97"/>
    </row>
    <row r="119" spans="10:12">
      <c r="J119" s="138"/>
      <c r="L119" s="97"/>
    </row>
    <row r="120" spans="10:12">
      <c r="J120" s="138"/>
      <c r="L120" s="97"/>
    </row>
    <row r="121" spans="10:12">
      <c r="J121" s="138"/>
      <c r="L121" s="97"/>
    </row>
    <row r="122" spans="10:12">
      <c r="J122" s="138"/>
      <c r="L122" s="97"/>
    </row>
    <row r="123" spans="10:12">
      <c r="J123" s="138"/>
      <c r="L123" s="97"/>
    </row>
    <row r="124" spans="10:12">
      <c r="J124" s="138"/>
      <c r="L124" s="97"/>
    </row>
    <row r="125" spans="10:12">
      <c r="J125" s="138"/>
      <c r="L125" s="97"/>
    </row>
    <row r="126" spans="10:12">
      <c r="J126" s="138"/>
      <c r="L126" s="97"/>
    </row>
    <row r="127" spans="10:12">
      <c r="J127" s="138"/>
      <c r="L127" s="97"/>
    </row>
    <row r="128" spans="10:12">
      <c r="J128" s="138"/>
      <c r="L128" s="97"/>
    </row>
    <row r="129" spans="10:12">
      <c r="J129" s="138"/>
      <c r="L129" s="97"/>
    </row>
    <row r="130" spans="10:12">
      <c r="J130" s="138"/>
      <c r="L130" s="97"/>
    </row>
    <row r="131" spans="10:12">
      <c r="J131" s="138"/>
      <c r="L131" s="97"/>
    </row>
    <row r="132" spans="10:12">
      <c r="J132" s="138"/>
      <c r="L132" s="97"/>
    </row>
    <row r="133" spans="10:12">
      <c r="J133" s="138"/>
      <c r="L133" s="97"/>
    </row>
    <row r="134" spans="10:12">
      <c r="J134" s="138"/>
      <c r="L134" s="97"/>
    </row>
    <row r="135" spans="10:12">
      <c r="J135" s="138"/>
      <c r="L135" s="97"/>
    </row>
    <row r="136" spans="10:12">
      <c r="J136" s="138"/>
      <c r="L136" s="97"/>
    </row>
    <row r="137" spans="10:12">
      <c r="J137" s="138"/>
      <c r="L137" s="97"/>
    </row>
    <row r="138" spans="10:12">
      <c r="J138" s="138"/>
      <c r="L138" s="97"/>
    </row>
    <row r="139" spans="10:12">
      <c r="J139" s="138"/>
      <c r="L139" s="97"/>
    </row>
    <row r="140" spans="10:12">
      <c r="J140" s="138"/>
      <c r="L140" s="97"/>
    </row>
    <row r="141" spans="10:12">
      <c r="J141" s="138"/>
      <c r="L141" s="97"/>
    </row>
    <row r="142" spans="10:12">
      <c r="J142" s="138"/>
      <c r="L142" s="97"/>
    </row>
    <row r="143" spans="10:12">
      <c r="J143" s="138"/>
      <c r="L143" s="97"/>
    </row>
    <row r="144" spans="10:12">
      <c r="J144" s="138"/>
      <c r="L144" s="97"/>
    </row>
    <row r="145" spans="10:12">
      <c r="J145" s="138"/>
      <c r="L145" s="97"/>
    </row>
    <row r="146" spans="10:12">
      <c r="J146" s="138"/>
      <c r="L146" s="97"/>
    </row>
    <row r="147" spans="10:12">
      <c r="J147" s="138"/>
      <c r="L147" s="97"/>
    </row>
    <row r="148" spans="10:12">
      <c r="J148" s="138"/>
      <c r="L148" s="97"/>
    </row>
    <row r="149" spans="10:12">
      <c r="J149" s="138"/>
      <c r="L149" s="97"/>
    </row>
    <row r="150" spans="10:12">
      <c r="J150" s="138"/>
      <c r="L150" s="97"/>
    </row>
    <row r="151" spans="10:12">
      <c r="J151" s="138"/>
      <c r="L151" s="97"/>
    </row>
    <row r="152" spans="10:12">
      <c r="J152" s="138"/>
      <c r="L152" s="97"/>
    </row>
    <row r="153" spans="10:12">
      <c r="J153" s="138"/>
      <c r="L153" s="97"/>
    </row>
    <row r="154" spans="10:12">
      <c r="J154" s="138"/>
      <c r="L154" s="97"/>
    </row>
    <row r="155" spans="10:12">
      <c r="J155" s="138"/>
      <c r="L155" s="97"/>
    </row>
    <row r="156" spans="10:12">
      <c r="J156" s="138"/>
      <c r="L156" s="97"/>
    </row>
    <row r="157" spans="10:12">
      <c r="J157" s="138"/>
      <c r="L157" s="97"/>
    </row>
    <row r="158" spans="10:12">
      <c r="J158" s="138"/>
      <c r="L158" s="97"/>
    </row>
    <row r="159" spans="10:12">
      <c r="J159" s="138"/>
      <c r="L159" s="97"/>
    </row>
    <row r="160" spans="10:12">
      <c r="J160" s="138"/>
      <c r="L160" s="97"/>
    </row>
    <row r="161" spans="10:12">
      <c r="J161" s="138"/>
      <c r="L161" s="97"/>
    </row>
    <row r="162" spans="10:12">
      <c r="J162" s="138"/>
      <c r="L162" s="97"/>
    </row>
    <row r="163" spans="10:12">
      <c r="J163" s="138"/>
      <c r="L163" s="97"/>
    </row>
    <row r="164" spans="10:12">
      <c r="J164" s="138"/>
      <c r="L164" s="97"/>
    </row>
    <row r="165" spans="10:12">
      <c r="J165" s="138"/>
      <c r="L165" s="97"/>
    </row>
    <row r="166" spans="10:12">
      <c r="J166" s="138"/>
      <c r="L166" s="97"/>
    </row>
    <row r="167" spans="10:12">
      <c r="J167" s="138"/>
      <c r="L167" s="97"/>
    </row>
    <row r="168" spans="10:12">
      <c r="J168" s="138"/>
      <c r="L168" s="97"/>
    </row>
    <row r="169" spans="10:12">
      <c r="J169" s="138"/>
      <c r="L169" s="97"/>
    </row>
    <row r="170" spans="10:12">
      <c r="J170" s="138"/>
      <c r="L170" s="97"/>
    </row>
    <row r="171" spans="10:12">
      <c r="J171" s="138"/>
      <c r="L171" s="97"/>
    </row>
    <row r="172" spans="10:12">
      <c r="J172" s="138"/>
      <c r="L172" s="97"/>
    </row>
    <row r="173" spans="10:12">
      <c r="J173" s="138"/>
      <c r="L173" s="97"/>
    </row>
    <row r="174" spans="10:12">
      <c r="J174" s="138"/>
      <c r="L174" s="97"/>
    </row>
    <row r="175" spans="10:12">
      <c r="J175" s="138"/>
      <c r="L175" s="97"/>
    </row>
    <row r="176" spans="10:12">
      <c r="J176" s="138"/>
      <c r="L176" s="97"/>
    </row>
    <row r="177" spans="10:12">
      <c r="J177" s="138"/>
      <c r="L177" s="97"/>
    </row>
    <row r="178" spans="10:12">
      <c r="J178" s="138"/>
      <c r="L178" s="97"/>
    </row>
    <row r="179" spans="10:12">
      <c r="J179" s="138"/>
      <c r="L179" s="97"/>
    </row>
    <row r="180" spans="10:12">
      <c r="J180" s="138"/>
      <c r="L180" s="97"/>
    </row>
    <row r="181" spans="10:12">
      <c r="J181" s="138"/>
      <c r="L181" s="97"/>
    </row>
    <row r="182" spans="10:12">
      <c r="J182" s="138"/>
      <c r="L182" s="97"/>
    </row>
    <row r="183" spans="10:12">
      <c r="J183" s="138"/>
      <c r="L183" s="97"/>
    </row>
    <row r="184" spans="10:12">
      <c r="J184" s="138"/>
      <c r="L184" s="97"/>
    </row>
    <row r="185" spans="10:12">
      <c r="J185" s="138"/>
      <c r="L185" s="97"/>
    </row>
    <row r="186" spans="10:12">
      <c r="J186" s="138"/>
      <c r="L186" s="97"/>
    </row>
    <row r="187" spans="10:12">
      <c r="J187" s="138"/>
      <c r="L187" s="97"/>
    </row>
    <row r="188" spans="10:12">
      <c r="J188" s="138"/>
      <c r="L188" s="97"/>
    </row>
    <row r="189" spans="10:12">
      <c r="J189" s="138"/>
      <c r="L189" s="97"/>
    </row>
    <row r="190" spans="10:12">
      <c r="J190" s="138"/>
      <c r="L190" s="97"/>
    </row>
    <row r="191" spans="10:12">
      <c r="J191" s="138"/>
      <c r="L191" s="97"/>
    </row>
    <row r="192" spans="10:12">
      <c r="J192" s="138"/>
      <c r="L192" s="97"/>
    </row>
    <row r="193" spans="10:12">
      <c r="J193" s="138"/>
      <c r="L193" s="97"/>
    </row>
    <row r="194" spans="10:12">
      <c r="J194" s="138"/>
      <c r="L194" s="97"/>
    </row>
    <row r="195" spans="10:12">
      <c r="J195" s="138"/>
      <c r="L195" s="97"/>
    </row>
    <row r="196" spans="10:12">
      <c r="J196" s="138"/>
      <c r="L196" s="97"/>
    </row>
    <row r="197" spans="10:12">
      <c r="J197" s="138"/>
      <c r="L197" s="97"/>
    </row>
    <row r="198" spans="10:12">
      <c r="J198" s="138"/>
      <c r="L198" s="97"/>
    </row>
    <row r="199" spans="10:12">
      <c r="J199" s="138"/>
      <c r="L199" s="97"/>
    </row>
    <row r="200" spans="10:12">
      <c r="J200" s="138"/>
      <c r="L200" s="97"/>
    </row>
    <row r="201" spans="10:12">
      <c r="J201" s="138"/>
      <c r="L201" s="97"/>
    </row>
    <row r="202" spans="10:12">
      <c r="J202" s="138"/>
      <c r="L202" s="97"/>
    </row>
    <row r="203" spans="10:12">
      <c r="J203" s="138"/>
      <c r="L203" s="97"/>
    </row>
    <row r="204" spans="10:12">
      <c r="J204" s="138"/>
      <c r="L204" s="97"/>
    </row>
    <row r="205" spans="10:12">
      <c r="J205" s="138"/>
      <c r="L205" s="97"/>
    </row>
    <row r="206" spans="10:12">
      <c r="J206" s="138"/>
      <c r="L206" s="97"/>
    </row>
    <row r="207" spans="10:12">
      <c r="J207" s="138"/>
      <c r="L207" s="97"/>
    </row>
    <row r="208" spans="10:12">
      <c r="J208" s="138"/>
      <c r="L208" s="97"/>
    </row>
    <row r="209" spans="10:12">
      <c r="J209" s="138"/>
      <c r="L209" s="97"/>
    </row>
    <row r="210" spans="10:12">
      <c r="J210" s="138"/>
      <c r="L210" s="97"/>
    </row>
    <row r="211" spans="10:12">
      <c r="J211" s="138"/>
      <c r="L211" s="97"/>
    </row>
    <row r="212" spans="10:12">
      <c r="J212" s="138"/>
      <c r="L212" s="97"/>
    </row>
    <row r="213" spans="10:12">
      <c r="J213" s="138"/>
      <c r="L213" s="97"/>
    </row>
    <row r="214" spans="10:12">
      <c r="J214" s="138"/>
      <c r="L214" s="97"/>
    </row>
    <row r="215" spans="10:12">
      <c r="J215" s="138"/>
      <c r="L215" s="97"/>
    </row>
    <row r="216" spans="10:12">
      <c r="J216" s="138"/>
      <c r="L216" s="97"/>
    </row>
    <row r="217" spans="10:12">
      <c r="J217" s="138"/>
      <c r="L217" s="97"/>
    </row>
    <row r="218" spans="10:12">
      <c r="J218" s="138"/>
      <c r="L218" s="97"/>
    </row>
    <row r="219" spans="10:12">
      <c r="J219" s="138"/>
      <c r="L219" s="97"/>
    </row>
    <row r="220" spans="10:12">
      <c r="J220" s="138"/>
      <c r="L220" s="97"/>
    </row>
    <row r="221" spans="10:12">
      <c r="J221" s="138"/>
      <c r="L221" s="97"/>
    </row>
    <row r="222" spans="10:12">
      <c r="J222" s="138"/>
      <c r="L222" s="97"/>
    </row>
    <row r="223" spans="10:12">
      <c r="J223" s="138"/>
      <c r="L223" s="97"/>
    </row>
    <row r="224" spans="10:12">
      <c r="J224" s="138"/>
      <c r="L224" s="97"/>
    </row>
    <row r="225" spans="10:12">
      <c r="J225" s="138"/>
      <c r="L225" s="97"/>
    </row>
    <row r="226" spans="10:12">
      <c r="J226" s="138"/>
      <c r="L226" s="97"/>
    </row>
    <row r="227" spans="10:12">
      <c r="J227" s="138"/>
      <c r="L227" s="97"/>
    </row>
    <row r="228" spans="10:12">
      <c r="J228" s="138"/>
      <c r="L228" s="97"/>
    </row>
    <row r="229" spans="10:12">
      <c r="J229" s="138"/>
      <c r="L229" s="97"/>
    </row>
    <row r="230" spans="10:12">
      <c r="J230" s="138"/>
      <c r="L230" s="97"/>
    </row>
    <row r="231" spans="10:12">
      <c r="J231" s="138"/>
      <c r="L231" s="97"/>
    </row>
    <row r="232" spans="10:12">
      <c r="J232" s="138"/>
      <c r="L232" s="97"/>
    </row>
    <row r="233" spans="10:12">
      <c r="J233" s="138"/>
      <c r="L233" s="97"/>
    </row>
    <row r="234" spans="10:12">
      <c r="J234" s="138"/>
      <c r="L234" s="97"/>
    </row>
    <row r="235" spans="10:12">
      <c r="J235" s="138"/>
      <c r="L235" s="97"/>
    </row>
    <row r="236" spans="10:12">
      <c r="J236" s="138"/>
      <c r="L236" s="97"/>
    </row>
    <row r="237" spans="10:12">
      <c r="J237" s="138"/>
      <c r="L237" s="97"/>
    </row>
    <row r="238" spans="10:12">
      <c r="J238" s="138"/>
      <c r="L238" s="97"/>
    </row>
    <row r="239" spans="10:12">
      <c r="J239" s="138"/>
      <c r="L239" s="97"/>
    </row>
    <row r="240" spans="10:12">
      <c r="J240" s="138"/>
      <c r="L240" s="97"/>
    </row>
    <row r="241" spans="10:12">
      <c r="J241" s="138"/>
      <c r="L241" s="97"/>
    </row>
    <row r="242" spans="10:12">
      <c r="J242" s="138"/>
      <c r="L242" s="97"/>
    </row>
    <row r="243" spans="10:12">
      <c r="J243" s="138"/>
      <c r="L243" s="97"/>
    </row>
    <row r="244" spans="10:12">
      <c r="J244" s="138"/>
      <c r="L244" s="97"/>
    </row>
    <row r="245" spans="10:12">
      <c r="J245" s="138"/>
      <c r="L245" s="97"/>
    </row>
    <row r="246" spans="10:12">
      <c r="J246" s="138"/>
      <c r="L246" s="97"/>
    </row>
    <row r="247" spans="10:12">
      <c r="J247" s="138"/>
      <c r="L247" s="97"/>
    </row>
    <row r="248" spans="10:12">
      <c r="J248" s="138"/>
      <c r="L248" s="97"/>
    </row>
    <row r="249" spans="10:12">
      <c r="J249" s="138"/>
      <c r="L249" s="97"/>
    </row>
    <row r="250" spans="10:12">
      <c r="J250" s="138"/>
      <c r="L250" s="97"/>
    </row>
    <row r="251" spans="10:12">
      <c r="J251" s="138"/>
      <c r="L251" s="97"/>
    </row>
    <row r="252" spans="10:12">
      <c r="J252" s="138"/>
      <c r="L252" s="97"/>
    </row>
    <row r="253" spans="10:12">
      <c r="J253" s="138"/>
      <c r="L253" s="97"/>
    </row>
    <row r="254" spans="10:12">
      <c r="J254" s="138"/>
      <c r="L254" s="97"/>
    </row>
    <row r="255" spans="10:12">
      <c r="J255" s="138"/>
      <c r="L255" s="97"/>
    </row>
    <row r="256" spans="10:12">
      <c r="J256" s="138"/>
      <c r="L256" s="97"/>
    </row>
    <row r="257" spans="10:12">
      <c r="J257" s="138"/>
      <c r="L257" s="97"/>
    </row>
    <row r="258" spans="10:12">
      <c r="J258" s="138"/>
      <c r="L258" s="97"/>
    </row>
    <row r="259" spans="10:12">
      <c r="J259" s="138"/>
      <c r="L259" s="97"/>
    </row>
    <row r="260" spans="10:12">
      <c r="J260" s="138"/>
      <c r="L260" s="97"/>
    </row>
    <row r="261" spans="10:12">
      <c r="J261" s="138"/>
      <c r="L261" s="97"/>
    </row>
    <row r="262" spans="10:12">
      <c r="J262" s="138"/>
      <c r="L262" s="97"/>
    </row>
    <row r="263" spans="10:12">
      <c r="J263" s="138"/>
      <c r="L263" s="97"/>
    </row>
    <row r="264" spans="10:12">
      <c r="J264" s="138"/>
      <c r="L264" s="97"/>
    </row>
    <row r="265" spans="10:12">
      <c r="J265" s="138"/>
      <c r="L265" s="97"/>
    </row>
    <row r="266" spans="10:12">
      <c r="J266" s="138"/>
      <c r="L266" s="97"/>
    </row>
    <row r="267" spans="10:12">
      <c r="J267" s="138"/>
      <c r="L267" s="97"/>
    </row>
    <row r="268" spans="10:12">
      <c r="J268" s="138"/>
      <c r="L268" s="97"/>
    </row>
    <row r="269" spans="10:12">
      <c r="J269" s="138"/>
      <c r="L269" s="97"/>
    </row>
    <row r="270" spans="10:12">
      <c r="J270" s="138"/>
      <c r="L270" s="97"/>
    </row>
    <row r="271" spans="10:12">
      <c r="J271" s="138"/>
      <c r="L271" s="97"/>
    </row>
    <row r="272" spans="10:12">
      <c r="J272" s="138"/>
      <c r="L272" s="97"/>
    </row>
    <row r="273" spans="10:12">
      <c r="J273" s="138"/>
      <c r="L273" s="97"/>
    </row>
    <row r="274" spans="10:12">
      <c r="J274" s="138"/>
      <c r="L274" s="97"/>
    </row>
    <row r="275" spans="10:12">
      <c r="J275" s="138"/>
      <c r="L275" s="97"/>
    </row>
    <row r="276" spans="10:12">
      <c r="J276" s="138"/>
      <c r="L276" s="97"/>
    </row>
    <row r="277" spans="10:12">
      <c r="J277" s="138"/>
      <c r="L277" s="97"/>
    </row>
    <row r="278" spans="10:12">
      <c r="J278" s="138"/>
      <c r="L278" s="97"/>
    </row>
    <row r="279" spans="10:12">
      <c r="J279" s="138"/>
      <c r="L279" s="97"/>
    </row>
    <row r="280" spans="10:12">
      <c r="J280" s="138"/>
      <c r="L280" s="97"/>
    </row>
    <row r="281" spans="10:12">
      <c r="J281" s="138"/>
      <c r="L281" s="97"/>
    </row>
    <row r="282" spans="10:12">
      <c r="J282" s="138"/>
      <c r="L282" s="97"/>
    </row>
    <row r="283" spans="10:12">
      <c r="J283" s="138"/>
      <c r="L283" s="97"/>
    </row>
    <row r="284" spans="10:12">
      <c r="J284" s="138"/>
      <c r="L284" s="97"/>
    </row>
    <row r="285" spans="10:12">
      <c r="J285" s="138"/>
      <c r="L285" s="97"/>
    </row>
    <row r="286" spans="10:12">
      <c r="J286" s="138"/>
      <c r="L286" s="97"/>
    </row>
    <row r="287" spans="10:12">
      <c r="J287" s="138"/>
      <c r="L287" s="97"/>
    </row>
    <row r="288" spans="10:12">
      <c r="J288" s="138"/>
      <c r="L288" s="97"/>
    </row>
    <row r="289" spans="10:12">
      <c r="J289" s="138"/>
      <c r="L289" s="97"/>
    </row>
    <row r="290" spans="10:12">
      <c r="J290" s="138"/>
      <c r="L290" s="97"/>
    </row>
    <row r="291" spans="10:12">
      <c r="J291" s="138"/>
      <c r="L291" s="97"/>
    </row>
    <row r="292" spans="10:12">
      <c r="J292" s="138"/>
      <c r="L292" s="97"/>
    </row>
    <row r="293" spans="10:12">
      <c r="J293" s="138"/>
      <c r="L293" s="97"/>
    </row>
    <row r="294" spans="10:12">
      <c r="J294" s="138"/>
      <c r="L294" s="97"/>
    </row>
    <row r="295" spans="10:12">
      <c r="J295" s="138"/>
      <c r="L295" s="97"/>
    </row>
    <row r="296" spans="10:12">
      <c r="J296" s="138"/>
      <c r="L296" s="97"/>
    </row>
    <row r="297" spans="10:12">
      <c r="J297" s="138"/>
      <c r="L297" s="97"/>
    </row>
    <row r="298" spans="10:12">
      <c r="J298" s="138"/>
      <c r="L298" s="97"/>
    </row>
    <row r="299" spans="10:12">
      <c r="J299" s="138"/>
      <c r="L299" s="97"/>
    </row>
    <row r="300" spans="10:12">
      <c r="J300" s="138"/>
      <c r="L300" s="97"/>
    </row>
    <row r="301" spans="10:12">
      <c r="J301" s="138"/>
      <c r="L301" s="97"/>
    </row>
    <row r="302" spans="10:12">
      <c r="J302" s="138"/>
      <c r="L302" s="97"/>
    </row>
    <row r="303" spans="10:12">
      <c r="J303" s="138"/>
      <c r="L303" s="97"/>
    </row>
    <row r="304" spans="10:12">
      <c r="J304" s="138"/>
      <c r="L304" s="97"/>
    </row>
    <row r="305" spans="10:12">
      <c r="J305" s="138"/>
      <c r="L305" s="97"/>
    </row>
    <row r="306" spans="10:12">
      <c r="J306" s="138"/>
      <c r="L306" s="97"/>
    </row>
    <row r="307" spans="10:12">
      <c r="J307" s="138"/>
      <c r="L307" s="97"/>
    </row>
    <row r="308" spans="10:12">
      <c r="J308" s="138"/>
      <c r="L308" s="97"/>
    </row>
    <row r="309" spans="10:12">
      <c r="J309" s="138"/>
      <c r="L309" s="97"/>
    </row>
    <row r="310" spans="10:12">
      <c r="J310" s="138"/>
      <c r="L310" s="97"/>
    </row>
    <row r="311" spans="10:12">
      <c r="J311" s="138"/>
      <c r="L311" s="97"/>
    </row>
    <row r="312" spans="10:12">
      <c r="J312" s="138"/>
      <c r="L312" s="97"/>
    </row>
    <row r="313" spans="10:12">
      <c r="J313" s="138"/>
      <c r="L313" s="97"/>
    </row>
    <row r="314" spans="10:12">
      <c r="J314" s="138"/>
      <c r="L314" s="97"/>
    </row>
    <row r="315" spans="10:12">
      <c r="J315" s="138"/>
      <c r="L315" s="97"/>
    </row>
    <row r="316" spans="10:12">
      <c r="J316" s="138"/>
      <c r="L316" s="97"/>
    </row>
    <row r="317" spans="10:12">
      <c r="J317" s="138"/>
      <c r="L317" s="97"/>
    </row>
    <row r="318" spans="10:12">
      <c r="J318" s="138"/>
      <c r="L318" s="97"/>
    </row>
    <row r="319" spans="10:12">
      <c r="J319" s="138"/>
      <c r="L319" s="97"/>
    </row>
    <row r="320" spans="10:12">
      <c r="J320" s="138"/>
      <c r="L320" s="97"/>
    </row>
    <row r="321" spans="10:12">
      <c r="J321" s="138"/>
      <c r="L321" s="97"/>
    </row>
    <row r="322" spans="10:12">
      <c r="J322" s="138"/>
      <c r="L322" s="97"/>
    </row>
    <row r="323" spans="10:12">
      <c r="J323" s="138"/>
      <c r="L323" s="97"/>
    </row>
    <row r="324" spans="10:12">
      <c r="J324" s="138"/>
      <c r="L324" s="97"/>
    </row>
    <row r="325" spans="10:12">
      <c r="J325" s="138"/>
      <c r="L325" s="97"/>
    </row>
    <row r="326" spans="10:12">
      <c r="J326" s="138"/>
      <c r="L326" s="97"/>
    </row>
    <row r="327" spans="10:12">
      <c r="J327" s="138"/>
      <c r="L327" s="97"/>
    </row>
    <row r="328" spans="10:12">
      <c r="J328" s="138"/>
      <c r="L328" s="97"/>
    </row>
    <row r="329" spans="10:12">
      <c r="J329" s="138"/>
      <c r="L329" s="97"/>
    </row>
    <row r="330" spans="10:12">
      <c r="J330" s="138"/>
      <c r="L330" s="97"/>
    </row>
    <row r="331" spans="10:12">
      <c r="J331" s="138"/>
      <c r="L331" s="97"/>
    </row>
    <row r="332" spans="10:12">
      <c r="J332" s="138"/>
      <c r="L332" s="97"/>
    </row>
    <row r="333" spans="10:12">
      <c r="J333" s="138"/>
      <c r="L333" s="97"/>
    </row>
    <row r="334" spans="10:12">
      <c r="J334" s="138"/>
      <c r="L334" s="97"/>
    </row>
    <row r="335" spans="10:12">
      <c r="J335" s="138"/>
      <c r="L335" s="97"/>
    </row>
    <row r="336" spans="10:12">
      <c r="J336" s="138"/>
      <c r="L336" s="97"/>
    </row>
    <row r="337" spans="10:12">
      <c r="J337" s="138"/>
      <c r="L337" s="97"/>
    </row>
    <row r="338" spans="10:12">
      <c r="J338" s="138"/>
      <c r="L338" s="97"/>
    </row>
    <row r="339" spans="10:12">
      <c r="J339" s="138"/>
      <c r="L339" s="97"/>
    </row>
    <row r="340" spans="10:12">
      <c r="J340" s="138"/>
      <c r="L340" s="97"/>
    </row>
    <row r="341" spans="10:12">
      <c r="J341" s="138"/>
      <c r="L341" s="97"/>
    </row>
    <row r="342" spans="10:12">
      <c r="J342" s="138"/>
      <c r="L342" s="97"/>
    </row>
    <row r="343" spans="10:12">
      <c r="J343" s="138"/>
      <c r="L343" s="97"/>
    </row>
    <row r="344" spans="10:12">
      <c r="J344" s="138"/>
      <c r="L344" s="97"/>
    </row>
    <row r="345" spans="10:12">
      <c r="J345" s="138"/>
      <c r="L345" s="97"/>
    </row>
    <row r="346" spans="10:12">
      <c r="J346" s="138"/>
      <c r="L346" s="97"/>
    </row>
    <row r="347" spans="10:12">
      <c r="J347" s="138"/>
      <c r="L347" s="97"/>
    </row>
    <row r="348" spans="10:12">
      <c r="J348" s="138"/>
      <c r="L348" s="97"/>
    </row>
    <row r="349" spans="10:12">
      <c r="J349" s="138"/>
      <c r="L349" s="97"/>
    </row>
    <row r="350" spans="10:12">
      <c r="J350" s="138"/>
      <c r="L350" s="97"/>
    </row>
    <row r="351" spans="10:12">
      <c r="J351" s="138"/>
      <c r="L351" s="97"/>
    </row>
    <row r="352" spans="10:12">
      <c r="J352" s="138"/>
      <c r="L352" s="97"/>
    </row>
    <row r="353" spans="10:12">
      <c r="J353" s="138"/>
      <c r="L353" s="97"/>
    </row>
    <row r="354" spans="10:12">
      <c r="J354" s="138"/>
      <c r="L354" s="97"/>
    </row>
    <row r="355" spans="10:12">
      <c r="J355" s="138"/>
      <c r="L355" s="97"/>
    </row>
    <row r="356" spans="10:12">
      <c r="J356" s="138"/>
      <c r="L356" s="97"/>
    </row>
    <row r="357" spans="10:12">
      <c r="J357" s="138"/>
      <c r="L357" s="97"/>
    </row>
    <row r="358" spans="10:12">
      <c r="J358" s="138"/>
      <c r="L358" s="97"/>
    </row>
    <row r="359" spans="10:12">
      <c r="J359" s="138"/>
      <c r="L359" s="97"/>
    </row>
    <row r="360" spans="10:12">
      <c r="J360" s="138"/>
      <c r="L360" s="97"/>
    </row>
    <row r="361" spans="10:12">
      <c r="J361" s="138"/>
      <c r="L361" s="97"/>
    </row>
    <row r="362" spans="10:12">
      <c r="J362" s="138"/>
      <c r="L362" s="97"/>
    </row>
    <row r="363" spans="10:12">
      <c r="J363" s="138"/>
      <c r="L363" s="97"/>
    </row>
    <row r="364" spans="10:12">
      <c r="J364" s="138"/>
      <c r="L364" s="97"/>
    </row>
    <row r="365" spans="10:12">
      <c r="J365" s="138"/>
      <c r="L365" s="97"/>
    </row>
    <row r="366" spans="10:12">
      <c r="J366" s="138"/>
      <c r="L366" s="97"/>
    </row>
    <row r="367" spans="10:12">
      <c r="J367" s="138"/>
      <c r="L367" s="97"/>
    </row>
    <row r="368" spans="10:12">
      <c r="J368" s="138"/>
      <c r="L368" s="97"/>
    </row>
    <row r="369" spans="10:12">
      <c r="J369" s="138"/>
      <c r="L369" s="97"/>
    </row>
    <row r="370" spans="10:12">
      <c r="J370" s="138"/>
      <c r="L370" s="97"/>
    </row>
    <row r="371" spans="10:12">
      <c r="J371" s="138"/>
      <c r="L371" s="97"/>
    </row>
    <row r="372" spans="10:12">
      <c r="J372" s="138"/>
      <c r="L372" s="97"/>
    </row>
    <row r="373" spans="10:12">
      <c r="J373" s="138"/>
      <c r="L373" s="97"/>
    </row>
    <row r="374" spans="10:12">
      <c r="J374" s="138"/>
      <c r="L374" s="97"/>
    </row>
    <row r="375" spans="10:12">
      <c r="J375" s="138"/>
      <c r="L375" s="97"/>
    </row>
    <row r="376" spans="10:12">
      <c r="J376" s="138"/>
      <c r="L376" s="97"/>
    </row>
    <row r="377" spans="10:12">
      <c r="J377" s="138"/>
      <c r="L377" s="97"/>
    </row>
    <row r="378" spans="10:12">
      <c r="J378" s="138"/>
      <c r="L378" s="97"/>
    </row>
    <row r="379" spans="10:12">
      <c r="J379" s="138"/>
      <c r="L379" s="97"/>
    </row>
    <row r="380" spans="10:12">
      <c r="J380" s="138"/>
      <c r="L380" s="97"/>
    </row>
    <row r="381" spans="10:12">
      <c r="J381" s="138"/>
      <c r="L381" s="97"/>
    </row>
    <row r="382" spans="10:12">
      <c r="J382" s="138"/>
      <c r="L382" s="97"/>
    </row>
    <row r="383" spans="10:12">
      <c r="J383" s="138"/>
      <c r="L383" s="97"/>
    </row>
    <row r="384" spans="10:12">
      <c r="J384" s="138"/>
      <c r="L384" s="97"/>
    </row>
    <row r="385" spans="10:12">
      <c r="J385" s="138"/>
      <c r="L385" s="97"/>
    </row>
    <row r="386" spans="10:12">
      <c r="J386" s="138"/>
      <c r="L386" s="97"/>
    </row>
    <row r="387" spans="10:12">
      <c r="J387" s="138"/>
      <c r="L387" s="97"/>
    </row>
    <row r="388" spans="10:12">
      <c r="J388" s="138"/>
      <c r="L388" s="97"/>
    </row>
    <row r="389" spans="10:12">
      <c r="J389" s="138"/>
      <c r="L389" s="97"/>
    </row>
    <row r="390" spans="10:12">
      <c r="J390" s="138"/>
      <c r="L390" s="97"/>
    </row>
    <row r="391" spans="10:12">
      <c r="J391" s="138"/>
      <c r="L391" s="97"/>
    </row>
    <row r="392" spans="10:12">
      <c r="J392" s="138"/>
      <c r="L392" s="97"/>
    </row>
    <row r="393" spans="10:12">
      <c r="J393" s="138"/>
      <c r="L393" s="97"/>
    </row>
    <row r="394" spans="10:12">
      <c r="J394" s="138"/>
      <c r="L394" s="97"/>
    </row>
    <row r="395" spans="10:12">
      <c r="J395" s="138"/>
      <c r="L395" s="97"/>
    </row>
    <row r="396" spans="10:12">
      <c r="J396" s="138"/>
      <c r="L396" s="97"/>
    </row>
    <row r="397" spans="10:12">
      <c r="J397" s="138"/>
      <c r="L397" s="97"/>
    </row>
    <row r="398" spans="10:12">
      <c r="J398" s="138"/>
      <c r="L398" s="97"/>
    </row>
    <row r="399" spans="10:12">
      <c r="J399" s="138"/>
      <c r="L399" s="97"/>
    </row>
    <row r="400" spans="10:12">
      <c r="J400" s="138"/>
      <c r="L400" s="97"/>
    </row>
    <row r="401" spans="10:12">
      <c r="J401" s="138"/>
      <c r="L401" s="97"/>
    </row>
    <row r="402" spans="10:12">
      <c r="J402" s="138"/>
      <c r="L402" s="97"/>
    </row>
    <row r="403" spans="10:12">
      <c r="J403" s="138"/>
      <c r="L403" s="97"/>
    </row>
    <row r="404" spans="10:12">
      <c r="J404" s="138"/>
      <c r="L404" s="97"/>
    </row>
    <row r="405" spans="10:12">
      <c r="J405" s="138"/>
      <c r="L405" s="97"/>
    </row>
    <row r="406" spans="10:12">
      <c r="J406" s="138"/>
      <c r="L406" s="97"/>
    </row>
    <row r="407" spans="10:12">
      <c r="J407" s="138"/>
      <c r="L407" s="97"/>
    </row>
    <row r="408" spans="10:12">
      <c r="J408" s="138"/>
      <c r="L408" s="97"/>
    </row>
    <row r="409" spans="10:12">
      <c r="J409" s="138"/>
      <c r="L409" s="97"/>
    </row>
    <row r="410" spans="10:12">
      <c r="J410" s="138"/>
      <c r="L410" s="97"/>
    </row>
    <row r="411" spans="10:12">
      <c r="J411" s="138"/>
      <c r="L411" s="97"/>
    </row>
    <row r="412" spans="10:12">
      <c r="J412" s="138"/>
      <c r="L412" s="97"/>
    </row>
    <row r="413" spans="10:12">
      <c r="J413" s="138"/>
      <c r="L413" s="97"/>
    </row>
    <row r="414" spans="10:12">
      <c r="J414" s="138"/>
      <c r="L414" s="97"/>
    </row>
    <row r="415" spans="10:12">
      <c r="J415" s="138"/>
      <c r="L415" s="97"/>
    </row>
    <row r="416" spans="10:12">
      <c r="J416" s="138"/>
      <c r="L416" s="97"/>
    </row>
    <row r="417" spans="10:12">
      <c r="J417" s="138"/>
      <c r="L417" s="97"/>
    </row>
    <row r="418" spans="10:12">
      <c r="J418" s="138"/>
      <c r="L418" s="97"/>
    </row>
    <row r="419" spans="10:12">
      <c r="J419" s="138"/>
      <c r="L419" s="97"/>
    </row>
    <row r="420" spans="10:12">
      <c r="J420" s="138"/>
      <c r="L420" s="97"/>
    </row>
    <row r="421" spans="10:12">
      <c r="J421" s="138"/>
      <c r="L421" s="97"/>
    </row>
    <row r="422" spans="10:12">
      <c r="J422" s="138"/>
      <c r="L422" s="97"/>
    </row>
    <row r="423" spans="10:12">
      <c r="J423" s="138"/>
      <c r="L423" s="97"/>
    </row>
    <row r="424" spans="10:12">
      <c r="J424" s="138"/>
      <c r="L424" s="97"/>
    </row>
    <row r="425" spans="10:12">
      <c r="J425" s="138"/>
      <c r="L425" s="97"/>
    </row>
    <row r="426" spans="10:12">
      <c r="J426" s="138"/>
      <c r="L426" s="97"/>
    </row>
    <row r="427" spans="10:12">
      <c r="J427" s="138"/>
      <c r="L427" s="97"/>
    </row>
    <row r="428" spans="10:12">
      <c r="J428" s="138"/>
      <c r="L428" s="97"/>
    </row>
    <row r="429" spans="10:12">
      <c r="J429" s="138"/>
      <c r="L429" s="97"/>
    </row>
    <row r="430" spans="10:12">
      <c r="J430" s="138"/>
      <c r="L430" s="97"/>
    </row>
    <row r="431" spans="10:12">
      <c r="J431" s="138"/>
      <c r="L431" s="97"/>
    </row>
    <row r="432" spans="10:12">
      <c r="J432" s="138"/>
      <c r="L432" s="97"/>
    </row>
    <row r="433" spans="10:12">
      <c r="J433" s="138"/>
      <c r="L433" s="97"/>
    </row>
    <row r="434" spans="10:12">
      <c r="J434" s="138"/>
      <c r="L434" s="97"/>
    </row>
    <row r="435" spans="10:12">
      <c r="J435" s="138"/>
      <c r="L435" s="97"/>
    </row>
    <row r="436" spans="10:12">
      <c r="J436" s="138"/>
      <c r="L436" s="97"/>
    </row>
    <row r="437" spans="10:12">
      <c r="J437" s="138"/>
      <c r="L437" s="97"/>
    </row>
    <row r="438" spans="10:12">
      <c r="J438" s="138"/>
      <c r="L438" s="97"/>
    </row>
    <row r="439" spans="10:12">
      <c r="J439" s="138"/>
      <c r="L439" s="97"/>
    </row>
    <row r="440" spans="10:12">
      <c r="J440" s="138"/>
      <c r="L440" s="97"/>
    </row>
    <row r="441" spans="10:12">
      <c r="J441" s="138"/>
      <c r="L441" s="97"/>
    </row>
    <row r="442" spans="10:12">
      <c r="J442" s="138"/>
      <c r="L442" s="97"/>
    </row>
    <row r="443" spans="10:12">
      <c r="J443" s="138"/>
      <c r="L443" s="97"/>
    </row>
    <row r="444" spans="10:12">
      <c r="J444" s="138"/>
      <c r="L444" s="97"/>
    </row>
    <row r="445" spans="10:12">
      <c r="J445" s="138"/>
      <c r="L445" s="97"/>
    </row>
    <row r="446" spans="10:12">
      <c r="J446" s="138"/>
      <c r="L446" s="97"/>
    </row>
    <row r="447" spans="10:12">
      <c r="J447" s="138"/>
      <c r="L447" s="97"/>
    </row>
    <row r="448" spans="10:12">
      <c r="J448" s="138"/>
      <c r="L448" s="97"/>
    </row>
    <row r="449" spans="10:12">
      <c r="J449" s="138"/>
      <c r="L449" s="97"/>
    </row>
    <row r="450" spans="10:12">
      <c r="J450" s="138"/>
      <c r="L450" s="97"/>
    </row>
    <row r="451" spans="10:12">
      <c r="J451" s="138"/>
      <c r="L451" s="97"/>
    </row>
    <row r="452" spans="10:12">
      <c r="J452" s="138"/>
      <c r="L452" s="97"/>
    </row>
    <row r="453" spans="10:12">
      <c r="J453" s="138"/>
      <c r="L453" s="97"/>
    </row>
    <row r="454" spans="10:12">
      <c r="J454" s="138"/>
      <c r="L454" s="97"/>
    </row>
    <row r="455" spans="10:12">
      <c r="J455" s="138"/>
      <c r="L455" s="97"/>
    </row>
    <row r="456" spans="10:12">
      <c r="J456" s="138"/>
      <c r="L456" s="97"/>
    </row>
    <row r="457" spans="10:12">
      <c r="J457" s="138"/>
      <c r="L457" s="97"/>
    </row>
    <row r="458" spans="10:12">
      <c r="J458" s="138"/>
      <c r="L458" s="97"/>
    </row>
    <row r="459" spans="10:12">
      <c r="J459" s="138"/>
      <c r="L459" s="97"/>
    </row>
    <row r="460" spans="10:12">
      <c r="J460" s="138"/>
      <c r="L460" s="97"/>
    </row>
    <row r="461" spans="10:12">
      <c r="J461" s="138"/>
      <c r="L461" s="97"/>
    </row>
    <row r="462" spans="10:12">
      <c r="J462" s="138"/>
      <c r="L462" s="97"/>
    </row>
    <row r="463" spans="10:12">
      <c r="J463" s="138"/>
      <c r="L463" s="97"/>
    </row>
    <row r="464" spans="10:12">
      <c r="J464" s="138"/>
      <c r="L464" s="97"/>
    </row>
    <row r="465" spans="10:12">
      <c r="J465" s="138"/>
      <c r="L465" s="97"/>
    </row>
    <row r="466" spans="10:12">
      <c r="J466" s="138"/>
      <c r="L466" s="97"/>
    </row>
    <row r="467" spans="10:12">
      <c r="J467" s="138"/>
      <c r="L467" s="97"/>
    </row>
    <row r="468" spans="10:12">
      <c r="J468" s="138"/>
      <c r="L468" s="97"/>
    </row>
    <row r="469" spans="10:12">
      <c r="J469" s="138"/>
      <c r="L469" s="97"/>
    </row>
    <row r="470" spans="10:12">
      <c r="J470" s="138"/>
      <c r="L470" s="97"/>
    </row>
    <row r="471" spans="10:12">
      <c r="J471" s="138"/>
      <c r="L471" s="97"/>
    </row>
    <row r="472" spans="10:12">
      <c r="J472" s="138"/>
      <c r="L472" s="97"/>
    </row>
    <row r="473" spans="10:12">
      <c r="J473" s="138"/>
      <c r="L473" s="97"/>
    </row>
    <row r="474" spans="10:12">
      <c r="J474" s="138"/>
      <c r="L474" s="97"/>
    </row>
    <row r="475" spans="10:12">
      <c r="J475" s="138"/>
      <c r="L475" s="97"/>
    </row>
    <row r="476" spans="10:12">
      <c r="J476" s="138"/>
      <c r="L476" s="97"/>
    </row>
    <row r="477" spans="10:12">
      <c r="J477" s="138"/>
      <c r="L477" s="97"/>
    </row>
    <row r="478" spans="10:12">
      <c r="J478" s="138"/>
      <c r="L478" s="97"/>
    </row>
    <row r="479" spans="10:12">
      <c r="J479" s="138"/>
      <c r="L479" s="97"/>
    </row>
    <row r="480" spans="10:12">
      <c r="J480" s="138"/>
      <c r="L480" s="97"/>
    </row>
    <row r="481" spans="10:12">
      <c r="J481" s="138"/>
      <c r="L481" s="97"/>
    </row>
    <row r="482" spans="10:12">
      <c r="J482" s="138"/>
      <c r="L482" s="97"/>
    </row>
    <row r="483" spans="10:12">
      <c r="J483" s="138"/>
      <c r="L483" s="97"/>
    </row>
    <row r="484" spans="10:12">
      <c r="J484" s="138"/>
      <c r="L484" s="97"/>
    </row>
    <row r="485" spans="10:12">
      <c r="J485" s="138"/>
      <c r="L485" s="97"/>
    </row>
    <row r="486" spans="10:12">
      <c r="J486" s="138"/>
      <c r="L486" s="97"/>
    </row>
    <row r="487" spans="10:12">
      <c r="J487" s="138"/>
      <c r="L487" s="97"/>
    </row>
    <row r="488" spans="10:12">
      <c r="J488" s="138"/>
      <c r="L488" s="97"/>
    </row>
    <row r="489" spans="10:12">
      <c r="J489" s="138"/>
      <c r="L489" s="97"/>
    </row>
    <row r="490" spans="10:12">
      <c r="J490" s="138"/>
      <c r="L490" s="97"/>
    </row>
    <row r="491" spans="10:12">
      <c r="J491" s="138"/>
      <c r="L491" s="97"/>
    </row>
    <row r="492" spans="10:12">
      <c r="J492" s="138"/>
      <c r="L492" s="97"/>
    </row>
    <row r="493" spans="10:12">
      <c r="J493" s="138"/>
      <c r="L493" s="97"/>
    </row>
    <row r="494" spans="10:12">
      <c r="J494" s="138"/>
      <c r="L494" s="97"/>
    </row>
    <row r="495" spans="10:12">
      <c r="J495" s="138"/>
      <c r="L495" s="97"/>
    </row>
    <row r="496" spans="10:12">
      <c r="J496" s="138"/>
      <c r="L496" s="97"/>
    </row>
    <row r="497" spans="10:12">
      <c r="J497" s="138"/>
      <c r="L497" s="97"/>
    </row>
    <row r="498" spans="10:12">
      <c r="J498" s="138"/>
      <c r="L498" s="97"/>
    </row>
    <row r="499" spans="10:12">
      <c r="J499" s="138"/>
      <c r="L499" s="97"/>
    </row>
    <row r="500" spans="10:12">
      <c r="J500" s="138"/>
      <c r="L500" s="97"/>
    </row>
    <row r="501" spans="10:12">
      <c r="J501" s="138"/>
      <c r="L501" s="97"/>
    </row>
    <row r="502" spans="10:12">
      <c r="J502" s="138"/>
      <c r="L502" s="97"/>
    </row>
    <row r="503" spans="10:12">
      <c r="J503" s="138"/>
      <c r="L503" s="97"/>
    </row>
    <row r="504" spans="10:12">
      <c r="J504" s="138"/>
      <c r="L504" s="97"/>
    </row>
    <row r="505" spans="10:12">
      <c r="J505" s="138"/>
      <c r="L505" s="97"/>
    </row>
    <row r="506" spans="10:12">
      <c r="J506" s="138"/>
      <c r="L506" s="97"/>
    </row>
    <row r="507" spans="10:12">
      <c r="J507" s="138"/>
      <c r="L507" s="97"/>
    </row>
    <row r="508" spans="10:12">
      <c r="J508" s="138"/>
      <c r="L508" s="97"/>
    </row>
    <row r="509" spans="10:12">
      <c r="J509" s="138"/>
      <c r="L509" s="97"/>
    </row>
    <row r="510" spans="10:12">
      <c r="J510" s="138"/>
      <c r="L510" s="97"/>
    </row>
    <row r="511" spans="10:12">
      <c r="J511" s="138"/>
      <c r="L511" s="97"/>
    </row>
    <row r="512" spans="10:12">
      <c r="J512" s="138"/>
      <c r="L512" s="97"/>
    </row>
    <row r="513" spans="10:12">
      <c r="J513" s="138"/>
      <c r="L513" s="97"/>
    </row>
    <row r="514" spans="10:12">
      <c r="J514" s="138"/>
      <c r="L514" s="97"/>
    </row>
    <row r="515" spans="10:12">
      <c r="J515" s="138"/>
      <c r="L515" s="97"/>
    </row>
    <row r="516" spans="10:12">
      <c r="J516" s="138"/>
      <c r="L516" s="97"/>
    </row>
    <row r="517" spans="10:12">
      <c r="J517" s="138"/>
      <c r="L517" s="97"/>
    </row>
    <row r="518" spans="10:12">
      <c r="J518" s="138"/>
      <c r="L518" s="97"/>
    </row>
    <row r="519" spans="10:12">
      <c r="J519" s="138"/>
      <c r="L519" s="97"/>
    </row>
    <row r="520" spans="10:12">
      <c r="J520" s="138"/>
      <c r="L520" s="97"/>
    </row>
    <row r="521" spans="10:12">
      <c r="J521" s="138"/>
      <c r="L521" s="97"/>
    </row>
    <row r="522" spans="10:12">
      <c r="J522" s="138"/>
      <c r="L522" s="97"/>
    </row>
    <row r="523" spans="10:12">
      <c r="J523" s="138"/>
      <c r="L523" s="97"/>
    </row>
    <row r="524" spans="10:12">
      <c r="J524" s="138"/>
      <c r="L524" s="97"/>
    </row>
    <row r="525" spans="10:12">
      <c r="J525" s="138"/>
      <c r="L525" s="97"/>
    </row>
    <row r="526" spans="10:12">
      <c r="J526" s="138"/>
      <c r="L526" s="97"/>
    </row>
    <row r="527" spans="10:12">
      <c r="J527" s="138"/>
      <c r="L527" s="97"/>
    </row>
    <row r="528" spans="10:12">
      <c r="J528" s="138"/>
      <c r="L528" s="97"/>
    </row>
    <row r="529" spans="10:12">
      <c r="J529" s="138"/>
      <c r="L529" s="97"/>
    </row>
    <row r="530" spans="10:12">
      <c r="J530" s="138"/>
      <c r="L530" s="97"/>
    </row>
    <row r="531" spans="10:12">
      <c r="J531" s="138"/>
      <c r="L531" s="97"/>
    </row>
    <row r="532" spans="10:12">
      <c r="J532" s="138"/>
      <c r="L532" s="97"/>
    </row>
    <row r="533" spans="10:12">
      <c r="J533" s="138"/>
      <c r="L533" s="97"/>
    </row>
    <row r="534" spans="10:12">
      <c r="J534" s="138"/>
      <c r="L534" s="97"/>
    </row>
    <row r="535" spans="10:12">
      <c r="J535" s="138"/>
      <c r="L535" s="97"/>
    </row>
    <row r="536" spans="10:12">
      <c r="J536" s="138"/>
      <c r="L536" s="97"/>
    </row>
    <row r="537" spans="10:12">
      <c r="J537" s="138"/>
      <c r="L537" s="97"/>
    </row>
    <row r="538" spans="10:12">
      <c r="J538" s="138"/>
      <c r="L538" s="97"/>
    </row>
    <row r="539" spans="10:12">
      <c r="J539" s="138"/>
      <c r="L539" s="97"/>
    </row>
    <row r="540" spans="10:12">
      <c r="J540" s="138"/>
      <c r="L540" s="97"/>
    </row>
    <row r="541" spans="10:12">
      <c r="J541" s="138"/>
      <c r="L541" s="97"/>
    </row>
    <row r="542" spans="10:12">
      <c r="J542" s="138"/>
      <c r="L542" s="97"/>
    </row>
    <row r="543" spans="10:12">
      <c r="J543" s="138"/>
      <c r="L543" s="97"/>
    </row>
    <row r="544" spans="10:12">
      <c r="J544" s="138"/>
      <c r="L544" s="97"/>
    </row>
    <row r="545" spans="10:12">
      <c r="J545" s="138"/>
      <c r="L545" s="97"/>
    </row>
    <row r="546" spans="10:12">
      <c r="J546" s="138"/>
      <c r="L546" s="97"/>
    </row>
    <row r="547" spans="10:12">
      <c r="J547" s="138"/>
      <c r="L547" s="97"/>
    </row>
    <row r="548" spans="10:12">
      <c r="J548" s="138"/>
      <c r="L548" s="97"/>
    </row>
    <row r="549" spans="10:12">
      <c r="J549" s="138"/>
      <c r="L549" s="97"/>
    </row>
    <row r="550" spans="10:12">
      <c r="J550" s="138"/>
      <c r="L550" s="97"/>
    </row>
    <row r="551" spans="10:12">
      <c r="J551" s="138"/>
      <c r="L551" s="97"/>
    </row>
    <row r="552" spans="10:12">
      <c r="J552" s="138"/>
      <c r="L552" s="97"/>
    </row>
    <row r="553" spans="10:12">
      <c r="J553" s="138"/>
      <c r="L553" s="97"/>
    </row>
    <row r="554" spans="10:12">
      <c r="J554" s="138"/>
      <c r="L554" s="97"/>
    </row>
    <row r="555" spans="10:12">
      <c r="J555" s="138"/>
      <c r="L555" s="97"/>
    </row>
    <row r="556" spans="10:12">
      <c r="J556" s="138"/>
      <c r="L556" s="97"/>
    </row>
    <row r="557" spans="10:12">
      <c r="J557" s="138"/>
      <c r="L557" s="97"/>
    </row>
    <row r="558" spans="10:12">
      <c r="J558" s="138"/>
      <c r="L558" s="97"/>
    </row>
    <row r="559" spans="10:12">
      <c r="J559" s="138"/>
      <c r="L559" s="97"/>
    </row>
    <row r="560" spans="10:12">
      <c r="J560" s="138"/>
      <c r="L560" s="97"/>
    </row>
    <row r="561" spans="10:12">
      <c r="J561" s="138"/>
      <c r="L561" s="97"/>
    </row>
    <row r="562" spans="10:12">
      <c r="J562" s="138"/>
      <c r="L562" s="97"/>
    </row>
    <row r="563" spans="10:12">
      <c r="J563" s="138"/>
      <c r="L563" s="97"/>
    </row>
    <row r="564" spans="10:12">
      <c r="J564" s="138"/>
      <c r="L564" s="97"/>
    </row>
    <row r="565" spans="10:12">
      <c r="J565" s="138"/>
      <c r="L565" s="97"/>
    </row>
    <row r="566" spans="10:12">
      <c r="J566" s="138"/>
      <c r="L566" s="97"/>
    </row>
    <row r="567" spans="10:12">
      <c r="J567" s="138"/>
      <c r="L567" s="97"/>
    </row>
    <row r="568" spans="10:12">
      <c r="J568" s="138"/>
      <c r="L568" s="97"/>
    </row>
    <row r="569" spans="10:12">
      <c r="J569" s="138"/>
      <c r="L569" s="97"/>
    </row>
    <row r="570" spans="10:12">
      <c r="J570" s="138"/>
      <c r="L570" s="97"/>
    </row>
    <row r="571" spans="10:12">
      <c r="J571" s="138"/>
      <c r="L571" s="97"/>
    </row>
    <row r="572" spans="10:12">
      <c r="J572" s="138"/>
      <c r="L572" s="97"/>
    </row>
    <row r="573" spans="10:12">
      <c r="J573" s="138"/>
      <c r="L573" s="97"/>
    </row>
    <row r="574" spans="10:12">
      <c r="J574" s="138"/>
      <c r="L574" s="97"/>
    </row>
    <row r="575" spans="10:12">
      <c r="J575" s="138"/>
      <c r="L575" s="97"/>
    </row>
    <row r="576" spans="10:12">
      <c r="J576" s="138"/>
      <c r="L576" s="97"/>
    </row>
    <row r="577" spans="10:12">
      <c r="J577" s="138"/>
      <c r="L577" s="97"/>
    </row>
    <row r="578" spans="10:12">
      <c r="J578" s="138"/>
      <c r="L578" s="97"/>
    </row>
    <row r="579" spans="10:12">
      <c r="J579" s="138"/>
      <c r="L579" s="97"/>
    </row>
    <row r="580" spans="10:12">
      <c r="J580" s="138"/>
      <c r="L580" s="97"/>
    </row>
    <row r="581" spans="10:12">
      <c r="J581" s="138"/>
      <c r="L581" s="97"/>
    </row>
    <row r="582" spans="10:12">
      <c r="J582" s="138"/>
      <c r="L582" s="97"/>
    </row>
    <row r="583" spans="10:12">
      <c r="J583" s="138"/>
      <c r="L583" s="97"/>
    </row>
    <row r="584" spans="10:12">
      <c r="J584" s="138"/>
      <c r="L584" s="97"/>
    </row>
    <row r="585" spans="10:12">
      <c r="J585" s="138"/>
      <c r="L585" s="97"/>
    </row>
    <row r="586" spans="10:12">
      <c r="J586" s="138"/>
      <c r="L586" s="97"/>
    </row>
    <row r="587" spans="10:12">
      <c r="J587" s="138"/>
      <c r="L587" s="97"/>
    </row>
    <row r="588" spans="10:12">
      <c r="J588" s="138"/>
      <c r="L588" s="97"/>
    </row>
    <row r="589" spans="10:12">
      <c r="J589" s="138"/>
      <c r="L589" s="97"/>
    </row>
    <row r="590" spans="10:12">
      <c r="J590" s="138"/>
      <c r="L590" s="97"/>
    </row>
    <row r="591" spans="10:12">
      <c r="J591" s="138"/>
      <c r="L591" s="97"/>
    </row>
    <row r="592" spans="10:12">
      <c r="J592" s="138"/>
      <c r="L592" s="97"/>
    </row>
    <row r="593" spans="10:12">
      <c r="J593" s="138"/>
      <c r="L593" s="97"/>
    </row>
    <row r="594" spans="10:12">
      <c r="J594" s="138"/>
      <c r="L594" s="97"/>
    </row>
    <row r="595" spans="10:12">
      <c r="J595" s="138"/>
      <c r="L595" s="97"/>
    </row>
    <row r="596" spans="10:12">
      <c r="J596" s="138"/>
      <c r="L596" s="97"/>
    </row>
    <row r="597" spans="10:12">
      <c r="J597" s="138"/>
      <c r="L597" s="97"/>
    </row>
    <row r="598" spans="10:12">
      <c r="J598" s="138"/>
      <c r="L598" s="97"/>
    </row>
    <row r="599" spans="10:12">
      <c r="J599" s="138"/>
      <c r="L599" s="97"/>
    </row>
    <row r="600" spans="10:12">
      <c r="J600" s="138"/>
      <c r="L600" s="97"/>
    </row>
    <row r="601" spans="10:12">
      <c r="J601" s="138"/>
      <c r="L601" s="97"/>
    </row>
    <row r="602" spans="10:12">
      <c r="J602" s="138"/>
      <c r="L602" s="97"/>
    </row>
    <row r="603" spans="10:12">
      <c r="J603" s="138"/>
      <c r="L603" s="97"/>
    </row>
    <row r="604" spans="10:12">
      <c r="J604" s="138"/>
      <c r="L604" s="97"/>
    </row>
    <row r="605" spans="10:12">
      <c r="J605" s="138"/>
      <c r="L605" s="97"/>
    </row>
    <row r="606" spans="10:12">
      <c r="J606" s="138"/>
      <c r="L606" s="97"/>
    </row>
    <row r="607" spans="10:12">
      <c r="J607" s="138"/>
      <c r="L607" s="97"/>
    </row>
    <row r="608" spans="10:12">
      <c r="J608" s="138"/>
      <c r="L608" s="97"/>
    </row>
    <row r="609" spans="10:12">
      <c r="J609" s="138"/>
      <c r="L609" s="97"/>
    </row>
    <row r="610" spans="10:12">
      <c r="J610" s="138"/>
      <c r="L610" s="97"/>
    </row>
    <row r="611" spans="10:12">
      <c r="J611" s="138"/>
      <c r="L611" s="97"/>
    </row>
    <row r="612" spans="10:12">
      <c r="J612" s="138"/>
      <c r="L612" s="97"/>
    </row>
    <row r="613" spans="10:12">
      <c r="J613" s="138"/>
      <c r="L613" s="97"/>
    </row>
    <row r="614" spans="10:12">
      <c r="J614" s="138"/>
      <c r="L614" s="97"/>
    </row>
    <row r="615" spans="10:12">
      <c r="J615" s="138"/>
      <c r="L615" s="97"/>
    </row>
    <row r="616" spans="10:12">
      <c r="J616" s="138"/>
      <c r="L616" s="97"/>
    </row>
    <row r="617" spans="10:12">
      <c r="J617" s="138"/>
      <c r="L617" s="97"/>
    </row>
    <row r="618" spans="10:12">
      <c r="J618" s="138"/>
      <c r="L618" s="97"/>
    </row>
    <row r="619" spans="10:12">
      <c r="J619" s="138"/>
      <c r="L619" s="97"/>
    </row>
    <row r="620" spans="10:12">
      <c r="J620" s="138"/>
      <c r="L620" s="97"/>
    </row>
    <row r="621" spans="10:12">
      <c r="J621" s="138"/>
      <c r="L621" s="97"/>
    </row>
    <row r="622" spans="10:12">
      <c r="J622" s="138"/>
      <c r="L622" s="97"/>
    </row>
    <row r="623" spans="10:12">
      <c r="J623" s="138"/>
      <c r="L623" s="97"/>
    </row>
    <row r="624" spans="10:12">
      <c r="J624" s="138"/>
      <c r="L624" s="97"/>
    </row>
    <row r="625" spans="10:12">
      <c r="J625" s="138"/>
      <c r="L625" s="97"/>
    </row>
    <row r="626" spans="10:12">
      <c r="J626" s="138"/>
      <c r="L626" s="97"/>
    </row>
    <row r="627" spans="10:12">
      <c r="J627" s="138"/>
      <c r="L627" s="97"/>
    </row>
    <row r="628" spans="10:12">
      <c r="J628" s="138"/>
      <c r="L628" s="97"/>
    </row>
    <row r="629" spans="10:12">
      <c r="J629" s="138"/>
      <c r="L629" s="97"/>
    </row>
    <row r="630" spans="10:12">
      <c r="J630" s="138"/>
      <c r="L630" s="97"/>
    </row>
    <row r="631" spans="10:12">
      <c r="J631" s="138"/>
      <c r="L631" s="97"/>
    </row>
    <row r="632" spans="10:12">
      <c r="J632" s="138"/>
      <c r="L632" s="97"/>
    </row>
    <row r="633" spans="10:12">
      <c r="J633" s="138"/>
      <c r="L633" s="97"/>
    </row>
    <row r="634" spans="10:12">
      <c r="J634" s="138"/>
      <c r="L634" s="97"/>
    </row>
    <row r="635" spans="10:12">
      <c r="J635" s="138"/>
      <c r="L635" s="97"/>
    </row>
    <row r="636" spans="10:12">
      <c r="J636" s="138"/>
      <c r="L636" s="97"/>
    </row>
    <row r="637" spans="10:12">
      <c r="J637" s="138"/>
      <c r="L637" s="97"/>
    </row>
    <row r="638" spans="10:12">
      <c r="J638" s="138"/>
      <c r="L638" s="97"/>
    </row>
    <row r="639" spans="10:12">
      <c r="J639" s="138"/>
      <c r="L639" s="97"/>
    </row>
    <row r="640" spans="10:12">
      <c r="J640" s="138"/>
      <c r="L640" s="97"/>
    </row>
    <row r="641" spans="10:12">
      <c r="J641" s="138"/>
      <c r="L641" s="97"/>
    </row>
    <row r="642" spans="10:12">
      <c r="J642" s="138"/>
      <c r="L642" s="97"/>
    </row>
    <row r="643" spans="10:12">
      <c r="J643" s="138"/>
      <c r="L643" s="97"/>
    </row>
    <row r="644" spans="10:12">
      <c r="J644" s="138"/>
      <c r="L644" s="97"/>
    </row>
    <row r="645" spans="10:12">
      <c r="J645" s="138"/>
      <c r="L645" s="97"/>
    </row>
    <row r="646" spans="10:12">
      <c r="J646" s="138"/>
      <c r="L646" s="97"/>
    </row>
    <row r="647" spans="10:12">
      <c r="J647" s="138"/>
      <c r="L647" s="97"/>
    </row>
    <row r="648" spans="10:12">
      <c r="J648" s="138"/>
      <c r="L648" s="97"/>
    </row>
    <row r="649" spans="10:12">
      <c r="J649" s="138"/>
      <c r="L649" s="97"/>
    </row>
    <row r="650" spans="10:12">
      <c r="J650" s="138"/>
      <c r="L650" s="97"/>
    </row>
    <row r="651" spans="10:12">
      <c r="J651" s="138"/>
      <c r="L651" s="97"/>
    </row>
    <row r="652" spans="10:12">
      <c r="J652" s="138"/>
      <c r="L652" s="97"/>
    </row>
    <row r="653" spans="10:12">
      <c r="J653" s="138"/>
      <c r="L653" s="97"/>
    </row>
    <row r="654" spans="10:12">
      <c r="J654" s="138"/>
      <c r="L654" s="97"/>
    </row>
    <row r="655" spans="10:12">
      <c r="J655" s="138"/>
      <c r="L655" s="97"/>
    </row>
    <row r="656" spans="10:12">
      <c r="J656" s="138"/>
      <c r="L656" s="97"/>
    </row>
    <row r="657" spans="10:12">
      <c r="J657" s="138"/>
      <c r="L657" s="97"/>
    </row>
    <row r="658" spans="10:12">
      <c r="J658" s="138"/>
      <c r="L658" s="97"/>
    </row>
    <row r="659" spans="10:12">
      <c r="J659" s="138"/>
      <c r="L659" s="97"/>
    </row>
    <row r="660" spans="10:12">
      <c r="J660" s="138"/>
      <c r="L660" s="97"/>
    </row>
    <row r="661" spans="10:12">
      <c r="J661" s="138"/>
      <c r="L661" s="97"/>
    </row>
    <row r="662" spans="10:12">
      <c r="J662" s="138"/>
      <c r="L662" s="97"/>
    </row>
    <row r="663" spans="10:12">
      <c r="J663" s="138"/>
      <c r="L663" s="97"/>
    </row>
    <row r="664" spans="10:12">
      <c r="J664" s="138"/>
      <c r="L664" s="97"/>
    </row>
    <row r="665" spans="10:12">
      <c r="J665" s="138"/>
      <c r="L665" s="97"/>
    </row>
    <row r="666" spans="10:12">
      <c r="J666" s="138"/>
      <c r="L666" s="97"/>
    </row>
    <row r="667" spans="10:12">
      <c r="J667" s="138"/>
      <c r="L667" s="97"/>
    </row>
    <row r="668" spans="10:12">
      <c r="J668" s="138"/>
      <c r="L668" s="97"/>
    </row>
    <row r="669" spans="10:12">
      <c r="J669" s="138"/>
      <c r="L669" s="97"/>
    </row>
    <row r="670" spans="10:12">
      <c r="J670" s="138"/>
      <c r="L670" s="97"/>
    </row>
    <row r="671" spans="10:12">
      <c r="J671" s="138"/>
      <c r="L671" s="97"/>
    </row>
    <row r="672" spans="10:12">
      <c r="J672" s="138"/>
      <c r="L672" s="97"/>
    </row>
    <row r="673" spans="10:12">
      <c r="J673" s="138"/>
      <c r="L673" s="97"/>
    </row>
    <row r="674" spans="10:12">
      <c r="J674" s="138"/>
      <c r="L674" s="97"/>
    </row>
    <row r="675" spans="10:12">
      <c r="J675" s="138"/>
      <c r="L675" s="97"/>
    </row>
    <row r="676" spans="10:12">
      <c r="J676" s="138"/>
      <c r="L676" s="97"/>
    </row>
    <row r="677" spans="10:12">
      <c r="J677" s="138"/>
      <c r="L677" s="97"/>
    </row>
    <row r="678" spans="10:12">
      <c r="J678" s="138"/>
      <c r="L678" s="97"/>
    </row>
    <row r="679" spans="10:12">
      <c r="J679" s="138"/>
      <c r="L679" s="97"/>
    </row>
    <row r="680" spans="10:12">
      <c r="J680" s="138"/>
      <c r="L680" s="97"/>
    </row>
    <row r="681" spans="10:12">
      <c r="J681" s="138"/>
      <c r="L681" s="97"/>
    </row>
    <row r="682" spans="10:12">
      <c r="J682" s="138"/>
      <c r="L682" s="97"/>
    </row>
    <row r="683" spans="10:12">
      <c r="J683" s="138"/>
      <c r="L683" s="97"/>
    </row>
    <row r="684" spans="10:12">
      <c r="J684" s="138"/>
      <c r="L684" s="97"/>
    </row>
    <row r="685" spans="10:12">
      <c r="J685" s="138"/>
      <c r="L685" s="97"/>
    </row>
    <row r="686" spans="10:12">
      <c r="J686" s="138"/>
      <c r="L686" s="97"/>
    </row>
    <row r="687" spans="10:12">
      <c r="J687" s="138"/>
      <c r="L687" s="97"/>
    </row>
    <row r="688" spans="10:12">
      <c r="J688" s="138"/>
      <c r="L688" s="97"/>
    </row>
    <row r="689" spans="10:12">
      <c r="J689" s="138"/>
      <c r="L689" s="97"/>
    </row>
    <row r="690" spans="10:12">
      <c r="J690" s="138"/>
      <c r="L690" s="97"/>
    </row>
    <row r="691" spans="10:12">
      <c r="J691" s="138"/>
      <c r="L691" s="97"/>
    </row>
    <row r="692" spans="10:12">
      <c r="J692" s="138"/>
      <c r="L692" s="97"/>
    </row>
    <row r="693" spans="10:12">
      <c r="J693" s="138"/>
      <c r="L693" s="97"/>
    </row>
    <row r="694" spans="10:12">
      <c r="J694" s="138"/>
      <c r="L694" s="97"/>
    </row>
    <row r="695" spans="10:12">
      <c r="J695" s="138"/>
      <c r="L695" s="97"/>
    </row>
    <row r="696" spans="10:12">
      <c r="J696" s="138"/>
      <c r="L696" s="97"/>
    </row>
    <row r="697" spans="10:12">
      <c r="J697" s="138"/>
      <c r="L697" s="97"/>
    </row>
    <row r="698" spans="10:12">
      <c r="J698" s="138"/>
      <c r="L698" s="97"/>
    </row>
    <row r="699" spans="10:12">
      <c r="J699" s="138"/>
      <c r="L699" s="97"/>
    </row>
    <row r="700" spans="10:12">
      <c r="J700" s="138"/>
      <c r="L700" s="97"/>
    </row>
    <row r="701" spans="10:12">
      <c r="J701" s="138"/>
      <c r="L701" s="97"/>
    </row>
    <row r="702" spans="10:12">
      <c r="J702" s="138"/>
      <c r="L702" s="97"/>
    </row>
    <row r="703" spans="10:12">
      <c r="J703" s="138"/>
      <c r="L703" s="97"/>
    </row>
    <row r="704" spans="10:12">
      <c r="J704" s="138"/>
      <c r="L704" s="97"/>
    </row>
    <row r="705" spans="10:12">
      <c r="J705" s="138"/>
      <c r="L705" s="97"/>
    </row>
    <row r="706" spans="10:12">
      <c r="J706" s="138"/>
      <c r="L706" s="97"/>
    </row>
    <row r="707" spans="10:12">
      <c r="J707" s="138"/>
      <c r="L707" s="97"/>
    </row>
    <row r="708" spans="10:12">
      <c r="J708" s="138"/>
      <c r="L708" s="97"/>
    </row>
    <row r="709" spans="10:12">
      <c r="J709" s="138"/>
      <c r="L709" s="97"/>
    </row>
    <row r="710" spans="10:12">
      <c r="J710" s="138"/>
      <c r="L710" s="97"/>
    </row>
    <row r="711" spans="10:12">
      <c r="J711" s="138"/>
      <c r="L711" s="97"/>
    </row>
    <row r="712" spans="10:12">
      <c r="J712" s="138"/>
      <c r="L712" s="97"/>
    </row>
    <row r="713" spans="10:12">
      <c r="J713" s="138"/>
      <c r="L713" s="97"/>
    </row>
    <row r="714" spans="10:12">
      <c r="J714" s="138"/>
      <c r="L714" s="97"/>
    </row>
    <row r="715" spans="10:12">
      <c r="J715" s="138"/>
      <c r="L715" s="97"/>
    </row>
    <row r="716" spans="10:12">
      <c r="J716" s="138"/>
      <c r="L716" s="97"/>
    </row>
    <row r="717" spans="10:12">
      <c r="J717" s="138"/>
      <c r="L717" s="97"/>
    </row>
    <row r="718" spans="10:12">
      <c r="J718" s="138"/>
      <c r="L718" s="97"/>
    </row>
    <row r="719" spans="10:12">
      <c r="J719" s="138"/>
      <c r="L719" s="97"/>
    </row>
    <row r="720" spans="10:12">
      <c r="J720" s="138"/>
      <c r="L720" s="97"/>
    </row>
    <row r="721" spans="10:12">
      <c r="J721" s="138"/>
      <c r="L721" s="97"/>
    </row>
    <row r="722" spans="10:12">
      <c r="J722" s="138"/>
      <c r="L722" s="97"/>
    </row>
    <row r="723" spans="10:12">
      <c r="J723" s="138"/>
      <c r="L723" s="97"/>
    </row>
    <row r="724" spans="10:12">
      <c r="J724" s="138"/>
      <c r="L724" s="97"/>
    </row>
    <row r="725" spans="10:12">
      <c r="J725" s="138"/>
      <c r="L725" s="97"/>
    </row>
    <row r="726" spans="10:12">
      <c r="J726" s="138"/>
      <c r="L726" s="97"/>
    </row>
    <row r="727" spans="10:12">
      <c r="J727" s="138"/>
      <c r="L727" s="97"/>
    </row>
    <row r="728" spans="10:12">
      <c r="J728" s="138"/>
      <c r="L728" s="97"/>
    </row>
    <row r="729" spans="10:12">
      <c r="J729" s="138"/>
      <c r="L729" s="97"/>
    </row>
    <row r="730" spans="10:12">
      <c r="J730" s="138"/>
      <c r="L730" s="97"/>
    </row>
    <row r="731" spans="10:12">
      <c r="J731" s="138"/>
      <c r="L731" s="97"/>
    </row>
    <row r="732" spans="10:12">
      <c r="J732" s="138"/>
      <c r="L732" s="97"/>
    </row>
    <row r="733" spans="10:12">
      <c r="J733" s="138"/>
      <c r="L733" s="97"/>
    </row>
    <row r="734" spans="10:12">
      <c r="J734" s="138"/>
      <c r="L734" s="97"/>
    </row>
    <row r="735" spans="10:12">
      <c r="J735" s="138"/>
      <c r="L735" s="97"/>
    </row>
    <row r="736" spans="10:12">
      <c r="J736" s="138"/>
      <c r="L736" s="97"/>
    </row>
    <row r="737" spans="10:12">
      <c r="J737" s="138"/>
      <c r="L737" s="97"/>
    </row>
    <row r="738" spans="10:12">
      <c r="J738" s="138"/>
      <c r="L738" s="97"/>
    </row>
    <row r="739" spans="10:12">
      <c r="J739" s="138"/>
      <c r="L739" s="97"/>
    </row>
    <row r="740" spans="10:12">
      <c r="J740" s="138"/>
      <c r="L740" s="97"/>
    </row>
    <row r="741" spans="10:12">
      <c r="J741" s="138"/>
      <c r="L741" s="97"/>
    </row>
    <row r="742" spans="10:12">
      <c r="J742" s="138"/>
      <c r="L742" s="97"/>
    </row>
    <row r="743" spans="10:12">
      <c r="J743" s="138"/>
      <c r="L743" s="97"/>
    </row>
    <row r="744" spans="10:12">
      <c r="J744" s="138"/>
      <c r="L744" s="97"/>
    </row>
    <row r="745" spans="10:12">
      <c r="J745" s="138"/>
      <c r="L745" s="97"/>
    </row>
    <row r="746" spans="10:12">
      <c r="J746" s="138"/>
      <c r="L746" s="97"/>
    </row>
    <row r="747" spans="10:12">
      <c r="J747" s="138"/>
      <c r="L747" s="97"/>
    </row>
    <row r="748" spans="10:12">
      <c r="J748" s="138"/>
      <c r="L748" s="97"/>
    </row>
    <row r="749" spans="10:12">
      <c r="J749" s="138"/>
      <c r="L749" s="97"/>
    </row>
    <row r="750" spans="10:12">
      <c r="J750" s="138"/>
      <c r="L750" s="97"/>
    </row>
    <row r="751" spans="10:12">
      <c r="J751" s="138"/>
      <c r="L751" s="97"/>
    </row>
    <row r="752" spans="10:12">
      <c r="J752" s="138"/>
      <c r="L752" s="97"/>
    </row>
    <row r="753" spans="10:12">
      <c r="J753" s="138"/>
      <c r="L753" s="97"/>
    </row>
    <row r="754" spans="10:12">
      <c r="J754" s="138"/>
      <c r="L754" s="97"/>
    </row>
    <row r="755" spans="10:12">
      <c r="J755" s="138"/>
      <c r="L755" s="97"/>
    </row>
    <row r="756" spans="10:12">
      <c r="J756" s="138"/>
      <c r="L756" s="97"/>
    </row>
    <row r="757" spans="10:12">
      <c r="J757" s="138"/>
      <c r="L757" s="97"/>
    </row>
    <row r="758" spans="10:12">
      <c r="J758" s="138"/>
      <c r="L758" s="97"/>
    </row>
    <row r="759" spans="10:12">
      <c r="J759" s="138"/>
      <c r="L759" s="97"/>
    </row>
    <row r="760" spans="10:12">
      <c r="J760" s="138"/>
      <c r="L760" s="97"/>
    </row>
    <row r="761" spans="10:12">
      <c r="J761" s="138"/>
      <c r="L761" s="97"/>
    </row>
    <row r="762" spans="10:12">
      <c r="J762" s="138"/>
      <c r="L762" s="97"/>
    </row>
    <row r="763" spans="10:12">
      <c r="J763" s="138"/>
      <c r="L763" s="97"/>
    </row>
    <row r="764" spans="10:12">
      <c r="J764" s="138"/>
      <c r="L764" s="97"/>
    </row>
    <row r="765" spans="10:12">
      <c r="J765" s="138"/>
      <c r="L765" s="97"/>
    </row>
    <row r="766" spans="10:12">
      <c r="J766" s="138"/>
      <c r="L766" s="97"/>
    </row>
    <row r="767" spans="10:12">
      <c r="J767" s="138"/>
      <c r="L767" s="97"/>
    </row>
    <row r="768" spans="10:12">
      <c r="J768" s="138"/>
      <c r="L768" s="97"/>
    </row>
    <row r="769" spans="10:12">
      <c r="J769" s="138"/>
      <c r="L769" s="97"/>
    </row>
    <row r="770" spans="10:12">
      <c r="J770" s="138"/>
      <c r="L770" s="97"/>
    </row>
    <row r="771" spans="10:12">
      <c r="J771" s="138"/>
      <c r="L771" s="97"/>
    </row>
    <row r="772" spans="10:12">
      <c r="J772" s="138"/>
      <c r="L772" s="97"/>
    </row>
    <row r="773" spans="10:12">
      <c r="J773" s="138"/>
      <c r="L773" s="97"/>
    </row>
    <row r="774" spans="10:12">
      <c r="J774" s="138"/>
      <c r="L774" s="97"/>
    </row>
    <row r="775" spans="10:12">
      <c r="J775" s="138"/>
      <c r="L775" s="97"/>
    </row>
    <row r="776" spans="10:12">
      <c r="J776" s="138"/>
      <c r="L776" s="97"/>
    </row>
    <row r="777" spans="10:12">
      <c r="J777" s="138"/>
      <c r="L777" s="97"/>
    </row>
    <row r="778" spans="10:12">
      <c r="J778" s="138"/>
      <c r="L778" s="97"/>
    </row>
    <row r="779" spans="10:12">
      <c r="J779" s="138"/>
      <c r="L779" s="97"/>
    </row>
    <row r="780" spans="10:12">
      <c r="J780" s="138"/>
      <c r="L780" s="97"/>
    </row>
    <row r="781" spans="10:12">
      <c r="J781" s="138"/>
      <c r="L781" s="97"/>
    </row>
    <row r="782" spans="10:12">
      <c r="J782" s="138"/>
      <c r="L782" s="97"/>
    </row>
    <row r="783" spans="10:12">
      <c r="J783" s="138"/>
      <c r="L783" s="97"/>
    </row>
    <row r="784" spans="10:12">
      <c r="J784" s="138"/>
      <c r="L784" s="97"/>
    </row>
    <row r="785" spans="10:12">
      <c r="J785" s="138"/>
      <c r="L785" s="97"/>
    </row>
    <row r="786" spans="10:12">
      <c r="J786" s="138"/>
      <c r="L786" s="97"/>
    </row>
    <row r="787" spans="10:12">
      <c r="J787" s="138"/>
      <c r="L787" s="97"/>
    </row>
    <row r="788" spans="10:12">
      <c r="J788" s="138"/>
      <c r="L788" s="97"/>
    </row>
    <row r="789" spans="10:12">
      <c r="J789" s="138"/>
      <c r="L789" s="97"/>
    </row>
    <row r="790" spans="10:12">
      <c r="J790" s="138"/>
      <c r="L790" s="97"/>
    </row>
    <row r="791" spans="10:12">
      <c r="J791" s="138"/>
      <c r="L791" s="97"/>
    </row>
    <row r="792" spans="10:12">
      <c r="J792" s="138"/>
      <c r="L792" s="97"/>
    </row>
    <row r="793" spans="10:12">
      <c r="J793" s="138"/>
      <c r="L793" s="97"/>
    </row>
    <row r="794" spans="10:12">
      <c r="J794" s="138"/>
      <c r="L794" s="97"/>
    </row>
    <row r="795" spans="10:12">
      <c r="J795" s="138"/>
      <c r="L795" s="97"/>
    </row>
    <row r="796" spans="10:12">
      <c r="J796" s="138"/>
      <c r="L796" s="97"/>
    </row>
    <row r="797" spans="10:12">
      <c r="J797" s="138"/>
      <c r="L797" s="97"/>
    </row>
    <row r="798" spans="10:12">
      <c r="J798" s="138"/>
      <c r="L798" s="97"/>
    </row>
    <row r="799" spans="10:12">
      <c r="J799" s="138"/>
      <c r="L799" s="97"/>
    </row>
    <row r="800" spans="10:12">
      <c r="J800" s="138"/>
      <c r="L800" s="97"/>
    </row>
    <row r="801" spans="10:12">
      <c r="J801" s="138"/>
      <c r="L801" s="97"/>
    </row>
    <row r="802" spans="10:12">
      <c r="J802" s="138"/>
      <c r="L802" s="97"/>
    </row>
    <row r="803" spans="10:12">
      <c r="J803" s="138"/>
      <c r="L803" s="97"/>
    </row>
    <row r="804" spans="10:12">
      <c r="J804" s="138"/>
      <c r="L804" s="97"/>
    </row>
    <row r="805" spans="10:12">
      <c r="J805" s="138"/>
      <c r="L805" s="97"/>
    </row>
    <row r="806" spans="10:12">
      <c r="J806" s="138"/>
      <c r="L806" s="97"/>
    </row>
    <row r="807" spans="10:12">
      <c r="J807" s="138"/>
      <c r="L807" s="97"/>
    </row>
    <row r="808" spans="10:12">
      <c r="J808" s="138"/>
      <c r="L808" s="97"/>
    </row>
    <row r="809" spans="10:12">
      <c r="J809" s="138"/>
      <c r="L809" s="97"/>
    </row>
    <row r="810" spans="10:12">
      <c r="J810" s="138"/>
      <c r="L810" s="97"/>
    </row>
    <row r="811" spans="10:12">
      <c r="J811" s="138"/>
      <c r="L811" s="97"/>
    </row>
    <row r="812" spans="10:12">
      <c r="J812" s="138"/>
      <c r="L812" s="97"/>
    </row>
    <row r="813" spans="10:12">
      <c r="J813" s="138"/>
      <c r="L813" s="97"/>
    </row>
    <row r="814" spans="10:12">
      <c r="J814" s="138"/>
      <c r="L814" s="97"/>
    </row>
    <row r="815" spans="10:12">
      <c r="J815" s="138"/>
      <c r="L815" s="97"/>
    </row>
    <row r="816" spans="10:12">
      <c r="J816" s="138"/>
      <c r="L816" s="97"/>
    </row>
    <row r="817" spans="10:12">
      <c r="J817" s="138"/>
      <c r="L817" s="97"/>
    </row>
    <row r="818" spans="10:12">
      <c r="J818" s="138"/>
      <c r="L818" s="97"/>
    </row>
    <row r="819" spans="10:12">
      <c r="J819" s="138"/>
      <c r="L819" s="97"/>
    </row>
    <row r="820" spans="10:12">
      <c r="J820" s="138"/>
      <c r="L820" s="97"/>
    </row>
    <row r="821" spans="10:12">
      <c r="J821" s="138"/>
      <c r="L821" s="97"/>
    </row>
    <row r="822" spans="10:12">
      <c r="J822" s="138"/>
      <c r="L822" s="97"/>
    </row>
    <row r="823" spans="10:12">
      <c r="J823" s="138"/>
      <c r="L823" s="97"/>
    </row>
    <row r="824" spans="10:12">
      <c r="J824" s="138"/>
      <c r="L824" s="97"/>
    </row>
    <row r="825" spans="10:12">
      <c r="J825" s="138"/>
      <c r="L825" s="97"/>
    </row>
    <row r="826" spans="10:12">
      <c r="J826" s="138"/>
      <c r="L826" s="97"/>
    </row>
    <row r="827" spans="10:12">
      <c r="J827" s="138"/>
      <c r="L827" s="97"/>
    </row>
    <row r="828" spans="10:12">
      <c r="J828" s="138"/>
      <c r="L828" s="97"/>
    </row>
    <row r="829" spans="10:12">
      <c r="J829" s="138"/>
      <c r="L829" s="97"/>
    </row>
    <row r="830" spans="10:12">
      <c r="J830" s="138"/>
      <c r="L830" s="97"/>
    </row>
    <row r="831" spans="10:12">
      <c r="J831" s="138"/>
      <c r="L831" s="97"/>
    </row>
    <row r="832" spans="10:12">
      <c r="J832" s="138"/>
      <c r="L832" s="97"/>
    </row>
    <row r="833" spans="10:12">
      <c r="J833" s="138"/>
      <c r="L833" s="97"/>
    </row>
    <row r="834" spans="10:12">
      <c r="J834" s="138"/>
      <c r="L834" s="97"/>
    </row>
    <row r="835" spans="10:12">
      <c r="J835" s="138"/>
      <c r="L835" s="97"/>
    </row>
    <row r="836" spans="10:12">
      <c r="J836" s="138"/>
      <c r="L836" s="97"/>
    </row>
    <row r="837" spans="10:12">
      <c r="J837" s="138"/>
      <c r="L837" s="97"/>
    </row>
    <row r="838" spans="10:12">
      <c r="J838" s="138"/>
      <c r="L838" s="97"/>
    </row>
    <row r="839" spans="10:12">
      <c r="J839" s="138"/>
      <c r="L839" s="97"/>
    </row>
    <row r="840" spans="10:12">
      <c r="J840" s="138"/>
      <c r="L840" s="97"/>
    </row>
    <row r="841" spans="10:12">
      <c r="J841" s="138"/>
      <c r="L841" s="97"/>
    </row>
    <row r="842" spans="10:12">
      <c r="J842" s="138"/>
      <c r="L842" s="97"/>
    </row>
    <row r="843" spans="10:12">
      <c r="J843" s="138"/>
      <c r="L843" s="97"/>
    </row>
    <row r="844" spans="10:12">
      <c r="J844" s="138"/>
      <c r="L844" s="97"/>
    </row>
    <row r="845" spans="10:12">
      <c r="J845" s="138"/>
      <c r="L845" s="97"/>
    </row>
    <row r="846" spans="10:12">
      <c r="J846" s="138"/>
      <c r="L846" s="97"/>
    </row>
    <row r="847" spans="10:12">
      <c r="J847" s="138"/>
      <c r="L847" s="97"/>
    </row>
    <row r="848" spans="10:12">
      <c r="J848" s="138"/>
      <c r="L848" s="97"/>
    </row>
    <row r="849" spans="10:12">
      <c r="J849" s="138"/>
      <c r="L849" s="97"/>
    </row>
    <row r="850" spans="10:12">
      <c r="J850" s="138"/>
      <c r="L850" s="97"/>
    </row>
    <row r="851" spans="10:12">
      <c r="J851" s="138"/>
      <c r="L851" s="97"/>
    </row>
    <row r="852" spans="10:12">
      <c r="J852" s="138"/>
      <c r="L852" s="97"/>
    </row>
    <row r="853" spans="10:12">
      <c r="J853" s="138"/>
      <c r="L853" s="97"/>
    </row>
    <row r="854" spans="10:12">
      <c r="J854" s="138"/>
      <c r="L854" s="97"/>
    </row>
    <row r="855" spans="10:12">
      <c r="J855" s="138"/>
      <c r="L855" s="97"/>
    </row>
    <row r="856" spans="10:12">
      <c r="J856" s="138"/>
      <c r="L856" s="97"/>
    </row>
    <row r="857" spans="10:12">
      <c r="J857" s="138"/>
      <c r="L857" s="97"/>
    </row>
    <row r="858" spans="10:12">
      <c r="J858" s="138"/>
      <c r="L858" s="97"/>
    </row>
    <row r="859" spans="10:12">
      <c r="J859" s="138"/>
      <c r="L859" s="97"/>
    </row>
    <row r="860" spans="10:12">
      <c r="J860" s="138"/>
      <c r="L860" s="97"/>
    </row>
    <row r="861" spans="10:12">
      <c r="J861" s="138"/>
      <c r="L861" s="97"/>
    </row>
    <row r="862" spans="10:12">
      <c r="J862" s="138"/>
      <c r="L862" s="97"/>
    </row>
    <row r="863" spans="10:12">
      <c r="J863" s="138"/>
      <c r="L863" s="97"/>
    </row>
    <row r="864" spans="10:12">
      <c r="J864" s="138"/>
      <c r="L864" s="97"/>
    </row>
    <row r="865" spans="10:12">
      <c r="J865" s="138"/>
      <c r="L865" s="97"/>
    </row>
    <row r="866" spans="10:12">
      <c r="J866" s="138"/>
      <c r="L866" s="97"/>
    </row>
    <row r="867" spans="10:12">
      <c r="J867" s="138"/>
      <c r="L867" s="97"/>
    </row>
    <row r="868" spans="10:12">
      <c r="J868" s="138"/>
      <c r="L868" s="97"/>
    </row>
    <row r="869" spans="10:12">
      <c r="J869" s="138"/>
      <c r="L869" s="97"/>
    </row>
    <row r="870" spans="10:12">
      <c r="J870" s="138"/>
      <c r="L870" s="97"/>
    </row>
    <row r="871" spans="10:12">
      <c r="J871" s="138"/>
      <c r="L871" s="97"/>
    </row>
    <row r="872" spans="10:12">
      <c r="J872" s="138"/>
      <c r="L872" s="97"/>
    </row>
    <row r="873" spans="10:12">
      <c r="J873" s="138"/>
      <c r="L873" s="97"/>
    </row>
    <row r="874" spans="10:12">
      <c r="J874" s="138"/>
      <c r="L874" s="97"/>
    </row>
    <row r="875" spans="10:12">
      <c r="J875" s="138"/>
      <c r="L875" s="97"/>
    </row>
    <row r="876" spans="10:12">
      <c r="J876" s="138"/>
      <c r="L876" s="97"/>
    </row>
    <row r="877" spans="10:12">
      <c r="J877" s="138"/>
      <c r="L877" s="97"/>
    </row>
    <row r="878" spans="10:12">
      <c r="J878" s="138"/>
      <c r="L878" s="97"/>
    </row>
    <row r="879" spans="10:12">
      <c r="J879" s="138"/>
      <c r="L879" s="97"/>
    </row>
    <row r="880" spans="10:12">
      <c r="J880" s="138"/>
      <c r="L880" s="97"/>
    </row>
    <row r="881" spans="10:12">
      <c r="J881" s="138"/>
      <c r="L881" s="97"/>
    </row>
    <row r="882" spans="10:12">
      <c r="J882" s="138"/>
      <c r="L882" s="97"/>
    </row>
    <row r="883" spans="10:12">
      <c r="J883" s="138"/>
      <c r="L883" s="97"/>
    </row>
    <row r="884" spans="10:12">
      <c r="J884" s="138"/>
      <c r="L884" s="97"/>
    </row>
    <row r="885" spans="10:12">
      <c r="J885" s="138"/>
      <c r="L885" s="97"/>
    </row>
    <row r="886" spans="10:12">
      <c r="J886" s="138"/>
      <c r="L886" s="97"/>
    </row>
    <row r="887" spans="10:12">
      <c r="J887" s="138"/>
      <c r="L887" s="97"/>
    </row>
    <row r="888" spans="10:12">
      <c r="J888" s="138"/>
      <c r="L888" s="97"/>
    </row>
    <row r="889" spans="10:12">
      <c r="J889" s="138"/>
      <c r="L889" s="97"/>
    </row>
    <row r="890" spans="10:12">
      <c r="J890" s="138"/>
      <c r="L890" s="97"/>
    </row>
    <row r="891" spans="10:12">
      <c r="J891" s="138"/>
      <c r="L891" s="97"/>
    </row>
    <row r="892" spans="10:12">
      <c r="J892" s="138"/>
      <c r="L892" s="97"/>
    </row>
    <row r="893" spans="10:12">
      <c r="J893" s="138"/>
      <c r="L893" s="97"/>
    </row>
    <row r="894" spans="10:12">
      <c r="J894" s="138"/>
      <c r="L894" s="97"/>
    </row>
    <row r="895" spans="10:12">
      <c r="J895" s="138"/>
      <c r="L895" s="97"/>
    </row>
    <row r="896" spans="10:12">
      <c r="J896" s="138"/>
      <c r="L896" s="97"/>
    </row>
    <row r="897" spans="10:12">
      <c r="J897" s="138"/>
      <c r="L897" s="97"/>
    </row>
    <row r="898" spans="10:12">
      <c r="J898" s="138"/>
      <c r="L898" s="97"/>
    </row>
    <row r="899" spans="10:12">
      <c r="J899" s="138"/>
      <c r="L899" s="97"/>
    </row>
    <row r="900" spans="10:12">
      <c r="J900" s="138"/>
      <c r="L900" s="97"/>
    </row>
    <row r="901" spans="10:12">
      <c r="J901" s="138"/>
      <c r="L901" s="97"/>
    </row>
    <row r="902" spans="10:12">
      <c r="J902" s="138"/>
      <c r="L902" s="97"/>
    </row>
    <row r="903" spans="10:12">
      <c r="J903" s="138"/>
      <c r="L903" s="97"/>
    </row>
    <row r="904" spans="10:12">
      <c r="J904" s="138"/>
      <c r="L904" s="97"/>
    </row>
    <row r="905" spans="10:12">
      <c r="J905" s="138"/>
      <c r="L905" s="97"/>
    </row>
    <row r="906" spans="10:12">
      <c r="J906" s="138"/>
      <c r="L906" s="97"/>
    </row>
    <row r="907" spans="10:12">
      <c r="J907" s="138"/>
      <c r="L907" s="97"/>
    </row>
    <row r="908" spans="10:12">
      <c r="J908" s="138"/>
      <c r="L908" s="97"/>
    </row>
    <row r="909" spans="10:12">
      <c r="J909" s="138"/>
      <c r="L909" s="97"/>
    </row>
    <row r="910" spans="10:12">
      <c r="J910" s="138"/>
      <c r="L910" s="97"/>
    </row>
    <row r="911" spans="10:12">
      <c r="J911" s="138"/>
      <c r="L911" s="97"/>
    </row>
    <row r="912" spans="10:12">
      <c r="J912" s="138"/>
      <c r="L912" s="97"/>
    </row>
    <row r="913" spans="10:12">
      <c r="J913" s="138"/>
      <c r="L913" s="97"/>
    </row>
    <row r="914" spans="10:12">
      <c r="J914" s="138"/>
      <c r="L914" s="97"/>
    </row>
    <row r="915" spans="10:12">
      <c r="J915" s="138"/>
      <c r="L915" s="97"/>
    </row>
    <row r="916" spans="10:12">
      <c r="J916" s="138"/>
      <c r="L916" s="97"/>
    </row>
    <row r="917" spans="10:12">
      <c r="J917" s="138"/>
      <c r="L917" s="97"/>
    </row>
    <row r="918" spans="10:12">
      <c r="J918" s="138"/>
      <c r="L918" s="97"/>
    </row>
    <row r="919" spans="10:12">
      <c r="J919" s="138"/>
      <c r="L919" s="97"/>
    </row>
    <row r="920" spans="10:12">
      <c r="J920" s="138"/>
      <c r="L920" s="97"/>
    </row>
    <row r="921" spans="10:12">
      <c r="J921" s="138"/>
      <c r="L921" s="97"/>
    </row>
    <row r="922" spans="10:12">
      <c r="J922" s="138"/>
      <c r="L922" s="97"/>
    </row>
    <row r="923" spans="10:12">
      <c r="J923" s="138"/>
      <c r="L923" s="97"/>
    </row>
    <row r="924" spans="10:12">
      <c r="J924" s="138"/>
      <c r="L924" s="97"/>
    </row>
    <row r="925" spans="10:12">
      <c r="J925" s="138"/>
      <c r="L925" s="97"/>
    </row>
    <row r="926" spans="10:12">
      <c r="J926" s="138"/>
      <c r="L926" s="97"/>
    </row>
    <row r="927" spans="10:12">
      <c r="J927" s="138"/>
      <c r="L927" s="97"/>
    </row>
    <row r="928" spans="10:12">
      <c r="J928" s="138"/>
      <c r="L928" s="97"/>
    </row>
    <row r="929" spans="10:12">
      <c r="J929" s="138"/>
      <c r="L929" s="97"/>
    </row>
    <row r="930" spans="10:12">
      <c r="J930" s="138"/>
      <c r="L930" s="97"/>
    </row>
    <row r="931" spans="10:12">
      <c r="J931" s="138"/>
      <c r="L931" s="97"/>
    </row>
    <row r="932" spans="10:12">
      <c r="J932" s="138"/>
      <c r="L932" s="97"/>
    </row>
    <row r="933" spans="10:12">
      <c r="J933" s="138"/>
      <c r="L933" s="97"/>
    </row>
    <row r="934" spans="10:12">
      <c r="J934" s="138"/>
      <c r="L934" s="97"/>
    </row>
    <row r="935" spans="10:12">
      <c r="J935" s="138"/>
      <c r="L935" s="97"/>
    </row>
    <row r="936" spans="10:12">
      <c r="J936" s="138"/>
      <c r="L936" s="97"/>
    </row>
    <row r="937" spans="10:12">
      <c r="J937" s="138"/>
      <c r="L937" s="97"/>
    </row>
    <row r="938" spans="10:12">
      <c r="J938" s="138"/>
      <c r="L938" s="97"/>
    </row>
    <row r="939" spans="10:12">
      <c r="J939" s="138"/>
      <c r="L939" s="97"/>
    </row>
    <row r="940" spans="10:12">
      <c r="J940" s="138"/>
      <c r="L940" s="97"/>
    </row>
    <row r="941" spans="10:12">
      <c r="J941" s="138"/>
      <c r="L941" s="97"/>
    </row>
    <row r="942" spans="10:12">
      <c r="J942" s="138"/>
      <c r="L942" s="97"/>
    </row>
    <row r="943" spans="10:12">
      <c r="J943" s="138"/>
      <c r="L943" s="97"/>
    </row>
    <row r="944" spans="10:12">
      <c r="J944" s="138"/>
      <c r="L944" s="97"/>
    </row>
    <row r="945" spans="10:12">
      <c r="J945" s="138"/>
      <c r="L945" s="97"/>
    </row>
    <row r="946" spans="10:12">
      <c r="J946" s="138"/>
      <c r="L946" s="97"/>
    </row>
    <row r="947" spans="10:12">
      <c r="J947" s="138"/>
      <c r="L947" s="97"/>
    </row>
    <row r="948" spans="10:12">
      <c r="J948" s="138"/>
      <c r="L948" s="97"/>
    </row>
    <row r="949" spans="10:12">
      <c r="J949" s="138"/>
      <c r="L949" s="97"/>
    </row>
    <row r="950" spans="10:12">
      <c r="J950" s="138"/>
      <c r="L950" s="97"/>
    </row>
    <row r="951" spans="10:12">
      <c r="J951" s="138"/>
      <c r="L951" s="97"/>
    </row>
    <row r="952" spans="10:12">
      <c r="J952" s="138"/>
      <c r="L952" s="97"/>
    </row>
    <row r="953" spans="10:12">
      <c r="J953" s="138"/>
      <c r="L953" s="97"/>
    </row>
    <row r="954" spans="10:12">
      <c r="J954" s="138"/>
      <c r="L954" s="97"/>
    </row>
    <row r="955" spans="10:12">
      <c r="J955" s="138"/>
      <c r="L955" s="97"/>
    </row>
    <row r="956" spans="10:12">
      <c r="J956" s="138"/>
      <c r="L956" s="97"/>
    </row>
    <row r="957" spans="10:12">
      <c r="J957" s="138"/>
      <c r="L957" s="97"/>
    </row>
    <row r="958" spans="10:12">
      <c r="J958" s="138"/>
      <c r="L958" s="97"/>
    </row>
    <row r="959" spans="10:12">
      <c r="J959" s="138"/>
      <c r="L959" s="97"/>
    </row>
    <row r="960" spans="10:12">
      <c r="J960" s="138"/>
      <c r="L960" s="97"/>
    </row>
    <row r="961" spans="10:12">
      <c r="J961" s="138"/>
      <c r="L961" s="97"/>
    </row>
    <row r="962" spans="10:12">
      <c r="J962" s="138"/>
      <c r="L962" s="97"/>
    </row>
    <row r="963" spans="10:12">
      <c r="J963" s="138"/>
      <c r="L963" s="97"/>
    </row>
    <row r="964" spans="10:12">
      <c r="J964" s="138"/>
      <c r="L964" s="97"/>
    </row>
    <row r="965" spans="10:12">
      <c r="J965" s="138"/>
      <c r="L965" s="97"/>
    </row>
    <row r="966" spans="10:12">
      <c r="J966" s="138"/>
      <c r="L966" s="97"/>
    </row>
    <row r="967" spans="10:12">
      <c r="J967" s="138"/>
      <c r="L967" s="97"/>
    </row>
    <row r="968" spans="10:12">
      <c r="J968" s="138"/>
      <c r="L968" s="97"/>
    </row>
    <row r="969" spans="10:12">
      <c r="J969" s="138"/>
      <c r="L969" s="97"/>
    </row>
    <row r="970" spans="10:12">
      <c r="J970" s="138"/>
      <c r="L970" s="97"/>
    </row>
    <row r="971" spans="10:12">
      <c r="J971" s="138"/>
      <c r="L971" s="97"/>
    </row>
    <row r="972" spans="10:12">
      <c r="J972" s="138"/>
      <c r="L972" s="97"/>
    </row>
    <row r="973" spans="10:12">
      <c r="J973" s="138"/>
      <c r="L973" s="97"/>
    </row>
    <row r="974" spans="10:12">
      <c r="J974" s="138"/>
      <c r="L974" s="97"/>
    </row>
    <row r="975" spans="10:12">
      <c r="J975" s="138"/>
      <c r="L975" s="97"/>
    </row>
    <row r="976" spans="10:12">
      <c r="J976" s="138"/>
      <c r="L976" s="97"/>
    </row>
    <row r="977" spans="10:12">
      <c r="J977" s="138"/>
      <c r="L977" s="97"/>
    </row>
    <row r="978" spans="10:12">
      <c r="J978" s="138"/>
      <c r="L978" s="97"/>
    </row>
    <row r="979" spans="10:12">
      <c r="J979" s="138"/>
      <c r="L979" s="97"/>
    </row>
    <row r="980" spans="10:12">
      <c r="J980" s="138"/>
      <c r="L980" s="97"/>
    </row>
    <row r="981" spans="10:12">
      <c r="J981" s="138"/>
      <c r="L981" s="97"/>
    </row>
    <row r="982" spans="10:12">
      <c r="J982" s="138"/>
      <c r="L982" s="97"/>
    </row>
    <row r="983" spans="10:12">
      <c r="J983" s="138"/>
      <c r="L983" s="97"/>
    </row>
    <row r="984" spans="10:12">
      <c r="J984" s="138"/>
      <c r="L984" s="97"/>
    </row>
    <row r="985" spans="10:12">
      <c r="J985" s="138"/>
      <c r="L985" s="97"/>
    </row>
    <row r="986" spans="10:12">
      <c r="J986" s="138"/>
      <c r="L986" s="97"/>
    </row>
    <row r="987" spans="10:12">
      <c r="J987" s="138"/>
      <c r="L987" s="97"/>
    </row>
    <row r="988" spans="10:12">
      <c r="J988" s="138"/>
      <c r="L988" s="97"/>
    </row>
    <row r="989" spans="10:12">
      <c r="J989" s="138"/>
      <c r="L989" s="97"/>
    </row>
    <row r="990" spans="10:12">
      <c r="J990" s="138"/>
      <c r="L990" s="97"/>
    </row>
    <row r="991" spans="10:12">
      <c r="J991" s="138"/>
      <c r="L991" s="97"/>
    </row>
    <row r="992" spans="10:12">
      <c r="J992" s="138"/>
      <c r="L992" s="97"/>
    </row>
    <row r="993" spans="10:12">
      <c r="J993" s="138"/>
      <c r="L993" s="97"/>
    </row>
    <row r="994" spans="10:12">
      <c r="J994" s="138"/>
      <c r="L994" s="97"/>
    </row>
    <row r="995" spans="10:12">
      <c r="J995" s="138"/>
      <c r="L995" s="97"/>
    </row>
    <row r="996" spans="10:12">
      <c r="J996" s="138"/>
      <c r="L996" s="97"/>
    </row>
    <row r="997" spans="10:12">
      <c r="J997" s="138"/>
      <c r="L997" s="97"/>
    </row>
    <row r="998" spans="10:12">
      <c r="J998" s="138"/>
      <c r="L998" s="97"/>
    </row>
    <row r="999" spans="10:12">
      <c r="J999" s="138"/>
      <c r="L999" s="97"/>
    </row>
    <row r="1000" spans="10:12">
      <c r="J1000" s="138"/>
      <c r="L1000" s="97"/>
    </row>
    <row r="1001" spans="10:12">
      <c r="J1001" s="138"/>
      <c r="L1001" s="97"/>
    </row>
    <row r="1002" spans="10:12">
      <c r="J1002" s="138"/>
      <c r="L1002" s="97"/>
    </row>
    <row r="1003" spans="10:12">
      <c r="J1003" s="138"/>
      <c r="L1003" s="97"/>
    </row>
    <row r="1004" spans="10:12">
      <c r="J1004" s="138"/>
      <c r="L1004" s="97"/>
    </row>
    <row r="1005" spans="10:12">
      <c r="J1005" s="138"/>
      <c r="L1005" s="97"/>
    </row>
    <row r="1006" spans="10:12">
      <c r="J1006" s="138"/>
      <c r="L1006" s="97"/>
    </row>
    <row r="1007" spans="10:12">
      <c r="J1007" s="138"/>
      <c r="L1007" s="97"/>
    </row>
    <row r="1008" spans="10:12">
      <c r="J1008" s="138"/>
      <c r="L1008" s="97"/>
    </row>
    <row r="1009" spans="10:12">
      <c r="J1009" s="138"/>
      <c r="L1009" s="97"/>
    </row>
    <row r="1010" spans="10:12">
      <c r="J1010" s="138"/>
      <c r="L1010" s="97"/>
    </row>
    <row r="1011" spans="10:12">
      <c r="J1011" s="138"/>
      <c r="L1011" s="97"/>
    </row>
    <row r="1012" spans="10:12">
      <c r="J1012" s="138"/>
      <c r="L1012" s="97"/>
    </row>
    <row r="1013" spans="10:12">
      <c r="J1013" s="138"/>
      <c r="L1013" s="97"/>
    </row>
    <row r="1014" spans="10:12">
      <c r="J1014" s="138"/>
      <c r="L1014" s="97"/>
    </row>
    <row r="1015" spans="10:12">
      <c r="J1015" s="138"/>
      <c r="L1015" s="97"/>
    </row>
    <row r="1016" spans="10:12">
      <c r="J1016" s="138"/>
      <c r="L1016" s="97"/>
    </row>
    <row r="1017" spans="10:12">
      <c r="J1017" s="138"/>
      <c r="L1017" s="97"/>
    </row>
    <row r="1018" spans="10:12">
      <c r="J1018" s="138"/>
      <c r="L1018" s="97"/>
    </row>
    <row r="1019" spans="10:12">
      <c r="J1019" s="138"/>
      <c r="L1019" s="97"/>
    </row>
    <row r="1020" spans="10:12">
      <c r="J1020" s="138"/>
      <c r="L1020" s="97"/>
    </row>
    <row r="1021" spans="10:12">
      <c r="J1021" s="138"/>
      <c r="L1021" s="97"/>
    </row>
    <row r="1022" spans="10:12">
      <c r="J1022" s="138"/>
      <c r="L1022" s="97"/>
    </row>
    <row r="1023" spans="10:12">
      <c r="J1023" s="138"/>
      <c r="L1023" s="97"/>
    </row>
    <row r="1024" spans="10:12">
      <c r="J1024" s="138"/>
      <c r="L1024" s="97"/>
    </row>
    <row r="1025" spans="10:12">
      <c r="J1025" s="138"/>
      <c r="L1025" s="97"/>
    </row>
    <row r="1026" spans="10:12">
      <c r="J1026" s="138"/>
      <c r="L1026" s="97"/>
    </row>
    <row r="1027" spans="10:12">
      <c r="J1027" s="138"/>
      <c r="L1027" s="97"/>
    </row>
    <row r="1028" spans="10:12">
      <c r="J1028" s="138"/>
      <c r="L1028" s="97"/>
    </row>
    <row r="1029" spans="10:12">
      <c r="J1029" s="138"/>
      <c r="L1029" s="97"/>
    </row>
    <row r="1030" spans="10:12">
      <c r="J1030" s="138"/>
      <c r="L1030" s="97"/>
    </row>
    <row r="1031" spans="10:12">
      <c r="J1031" s="138"/>
      <c r="L1031" s="97"/>
    </row>
    <row r="1032" spans="10:12">
      <c r="J1032" s="138"/>
      <c r="L1032" s="97"/>
    </row>
    <row r="1033" spans="10:12">
      <c r="J1033" s="138"/>
      <c r="L1033" s="97"/>
    </row>
    <row r="1034" spans="10:12">
      <c r="J1034" s="138"/>
      <c r="L1034" s="97"/>
    </row>
    <row r="1035" spans="10:12">
      <c r="J1035" s="138"/>
      <c r="L1035" s="97"/>
    </row>
    <row r="1036" spans="10:12">
      <c r="J1036" s="138"/>
      <c r="L1036" s="97"/>
    </row>
    <row r="1037" spans="10:12">
      <c r="J1037" s="138"/>
      <c r="L1037" s="97"/>
    </row>
    <row r="1038" spans="10:12">
      <c r="J1038" s="138"/>
      <c r="L1038" s="97"/>
    </row>
    <row r="1039" spans="10:12">
      <c r="J1039" s="138"/>
      <c r="L1039" s="97"/>
    </row>
    <row r="1040" spans="10:12">
      <c r="J1040" s="138"/>
      <c r="L1040" s="97"/>
    </row>
    <row r="1041" spans="10:12">
      <c r="J1041" s="138"/>
      <c r="L1041" s="97"/>
    </row>
    <row r="1042" spans="10:12">
      <c r="J1042" s="138"/>
      <c r="L1042" s="97"/>
    </row>
    <row r="1043" spans="10:12">
      <c r="J1043" s="138"/>
      <c r="L1043" s="97"/>
    </row>
    <row r="1044" spans="10:12">
      <c r="J1044" s="138"/>
      <c r="L1044" s="97"/>
    </row>
    <row r="1045" spans="10:12">
      <c r="J1045" s="138"/>
      <c r="L1045" s="97"/>
    </row>
    <row r="1046" spans="10:12">
      <c r="J1046" s="138"/>
      <c r="L1046" s="97"/>
    </row>
    <row r="1047" spans="10:12">
      <c r="J1047" s="138"/>
      <c r="L1047" s="97"/>
    </row>
    <row r="1048" spans="10:12">
      <c r="J1048" s="138"/>
      <c r="L1048" s="97"/>
    </row>
    <row r="1049" spans="10:12">
      <c r="J1049" s="138"/>
      <c r="L1049" s="97"/>
    </row>
    <row r="1050" spans="10:12">
      <c r="J1050" s="138"/>
      <c r="L1050" s="97"/>
    </row>
    <row r="1051" spans="10:12">
      <c r="J1051" s="138"/>
      <c r="L1051" s="97"/>
    </row>
    <row r="1052" spans="10:12">
      <c r="J1052" s="138"/>
      <c r="L1052" s="97"/>
    </row>
    <row r="1053" spans="10:12">
      <c r="J1053" s="138"/>
      <c r="L1053" s="97"/>
    </row>
    <row r="1054" spans="10:12">
      <c r="J1054" s="138"/>
      <c r="L1054" s="97"/>
    </row>
    <row r="1055" spans="10:12">
      <c r="J1055" s="138"/>
      <c r="L1055" s="97"/>
    </row>
    <row r="1056" spans="10:12">
      <c r="J1056" s="138"/>
      <c r="L1056" s="97"/>
    </row>
    <row r="1057" spans="10:12">
      <c r="J1057" s="138"/>
      <c r="L1057" s="97"/>
    </row>
    <row r="1058" spans="10:12">
      <c r="J1058" s="138"/>
      <c r="L1058" s="97"/>
    </row>
    <row r="1059" spans="10:12">
      <c r="J1059" s="138"/>
      <c r="L1059" s="97"/>
    </row>
    <row r="1060" spans="10:12">
      <c r="J1060" s="138"/>
      <c r="L1060" s="97"/>
    </row>
    <row r="1061" spans="10:12">
      <c r="J1061" s="138"/>
      <c r="L1061" s="97"/>
    </row>
    <row r="1062" spans="10:12">
      <c r="J1062" s="138"/>
      <c r="L1062" s="97"/>
    </row>
    <row r="1063" spans="10:12">
      <c r="J1063" s="138"/>
      <c r="L1063" s="97"/>
    </row>
    <row r="1064" spans="10:12">
      <c r="J1064" s="138"/>
      <c r="L1064" s="97"/>
    </row>
    <row r="1065" spans="10:12">
      <c r="J1065" s="138"/>
      <c r="L1065" s="97"/>
    </row>
    <row r="1066" spans="10:12">
      <c r="J1066" s="138"/>
      <c r="L1066" s="97"/>
    </row>
    <row r="1067" spans="10:12">
      <c r="J1067" s="138"/>
      <c r="L1067" s="97"/>
    </row>
    <row r="1068" spans="10:12">
      <c r="J1068" s="138"/>
      <c r="L1068" s="97"/>
    </row>
    <row r="1069" spans="10:12">
      <c r="J1069" s="138"/>
      <c r="L1069" s="97"/>
    </row>
    <row r="1070" spans="10:12">
      <c r="J1070" s="138"/>
      <c r="L1070" s="97"/>
    </row>
    <row r="1071" spans="10:12">
      <c r="J1071" s="138"/>
      <c r="L1071" s="97"/>
    </row>
    <row r="1072" spans="10:12">
      <c r="J1072" s="138"/>
      <c r="L1072" s="97"/>
    </row>
    <row r="1073" spans="10:12">
      <c r="J1073" s="138"/>
      <c r="L1073" s="97"/>
    </row>
    <row r="1074" spans="10:12">
      <c r="J1074" s="138"/>
      <c r="L1074" s="97"/>
    </row>
    <row r="1075" spans="10:12">
      <c r="J1075" s="138"/>
      <c r="L1075" s="97"/>
    </row>
    <row r="1076" spans="10:12">
      <c r="J1076" s="138"/>
      <c r="L1076" s="97"/>
    </row>
    <row r="1077" spans="10:12">
      <c r="J1077" s="138"/>
      <c r="L1077" s="97"/>
    </row>
    <row r="1078" spans="10:12">
      <c r="J1078" s="138"/>
      <c r="L1078" s="97"/>
    </row>
    <row r="1079" spans="10:12">
      <c r="J1079" s="138"/>
      <c r="L1079" s="97"/>
    </row>
    <row r="1080" spans="10:12">
      <c r="J1080" s="138"/>
      <c r="L1080" s="97"/>
    </row>
    <row r="1081" spans="10:12">
      <c r="J1081" s="138"/>
      <c r="L1081" s="97"/>
    </row>
    <row r="1082" spans="10:12">
      <c r="J1082" s="138"/>
      <c r="L1082" s="97"/>
    </row>
    <row r="1083" spans="10:12">
      <c r="J1083" s="138"/>
      <c r="L1083" s="97"/>
    </row>
    <row r="1084" spans="10:12">
      <c r="J1084" s="138"/>
      <c r="L1084" s="97"/>
    </row>
    <row r="1085" spans="10:12">
      <c r="J1085" s="138"/>
      <c r="L1085" s="97"/>
    </row>
    <row r="1086" spans="10:12">
      <c r="J1086" s="138"/>
      <c r="L1086" s="97"/>
    </row>
    <row r="1087" spans="10:12">
      <c r="J1087" s="138"/>
      <c r="L1087" s="97"/>
    </row>
    <row r="1088" spans="10:12">
      <c r="J1088" s="138"/>
      <c r="L1088" s="97"/>
    </row>
    <row r="1089" spans="10:12">
      <c r="J1089" s="138"/>
      <c r="L1089" s="97"/>
    </row>
    <row r="1090" spans="10:12">
      <c r="J1090" s="138"/>
      <c r="L1090" s="97"/>
    </row>
    <row r="1091" spans="10:12">
      <c r="J1091" s="138"/>
      <c r="L1091" s="97"/>
    </row>
    <row r="1092" spans="10:12">
      <c r="J1092" s="138"/>
      <c r="L1092" s="97"/>
    </row>
    <row r="1093" spans="10:12">
      <c r="J1093" s="138"/>
      <c r="L1093" s="97"/>
    </row>
    <row r="1094" spans="10:12">
      <c r="J1094" s="138"/>
      <c r="L1094" s="97"/>
    </row>
    <row r="1095" spans="10:12">
      <c r="J1095" s="138"/>
      <c r="L1095" s="97"/>
    </row>
    <row r="1096" spans="10:12">
      <c r="J1096" s="138"/>
      <c r="L1096" s="97"/>
    </row>
    <row r="1097" spans="10:12">
      <c r="J1097" s="138"/>
      <c r="L1097" s="97"/>
    </row>
    <row r="1098" spans="10:12">
      <c r="J1098" s="138"/>
      <c r="L1098" s="97"/>
    </row>
    <row r="1099" spans="10:12">
      <c r="J1099" s="138"/>
      <c r="L1099" s="97"/>
    </row>
    <row r="1100" spans="10:12">
      <c r="J1100" s="138"/>
      <c r="L1100" s="97"/>
    </row>
    <row r="1101" spans="10:12">
      <c r="J1101" s="138"/>
      <c r="L1101" s="97"/>
    </row>
    <row r="1102" spans="10:12">
      <c r="J1102" s="138"/>
      <c r="L1102" s="97"/>
    </row>
    <row r="1103" spans="10:12">
      <c r="J1103" s="138"/>
      <c r="L1103" s="97"/>
    </row>
    <row r="1104" spans="10:12">
      <c r="J1104" s="138"/>
      <c r="L1104" s="97"/>
    </row>
    <row r="1105" spans="10:12">
      <c r="J1105" s="138"/>
      <c r="L1105" s="97"/>
    </row>
    <row r="1106" spans="10:12">
      <c r="J1106" s="138"/>
      <c r="L1106" s="97"/>
    </row>
    <row r="1107" spans="10:12">
      <c r="J1107" s="138"/>
      <c r="L1107" s="97"/>
    </row>
    <row r="1108" spans="10:12">
      <c r="J1108" s="138"/>
      <c r="L1108" s="97"/>
    </row>
    <row r="1109" spans="10:12">
      <c r="J1109" s="138"/>
      <c r="L1109" s="97"/>
    </row>
    <row r="1110" spans="10:12">
      <c r="J1110" s="138"/>
      <c r="L1110" s="97"/>
    </row>
    <row r="1111" spans="10:12">
      <c r="J1111" s="138"/>
      <c r="L1111" s="97"/>
    </row>
    <row r="1112" spans="10:12">
      <c r="J1112" s="138"/>
      <c r="L1112" s="97"/>
    </row>
    <row r="1113" spans="10:12">
      <c r="J1113" s="138"/>
      <c r="L1113" s="97"/>
    </row>
    <row r="1114" spans="10:12">
      <c r="J1114" s="138"/>
      <c r="L1114" s="97"/>
    </row>
    <row r="1115" spans="10:12">
      <c r="J1115" s="138"/>
      <c r="L1115" s="97"/>
    </row>
    <row r="1116" spans="10:12">
      <c r="J1116" s="138"/>
      <c r="L1116" s="97"/>
    </row>
    <row r="1117" spans="10:12">
      <c r="J1117" s="138"/>
      <c r="L1117" s="97"/>
    </row>
    <row r="1118" spans="10:12">
      <c r="J1118" s="138"/>
      <c r="L1118" s="97"/>
    </row>
    <row r="1119" spans="10:12">
      <c r="J1119" s="138"/>
      <c r="L1119" s="97"/>
    </row>
    <row r="1120" spans="10:12">
      <c r="J1120" s="138"/>
      <c r="L1120" s="97"/>
    </row>
    <row r="1121" spans="10:12">
      <c r="J1121" s="138"/>
      <c r="L1121" s="97"/>
    </row>
    <row r="1122" spans="10:12">
      <c r="J1122" s="138"/>
      <c r="L1122" s="97"/>
    </row>
    <row r="1123" spans="10:12">
      <c r="J1123" s="138"/>
      <c r="L1123" s="97"/>
    </row>
    <row r="1124" spans="10:12">
      <c r="J1124" s="138"/>
      <c r="L1124" s="97"/>
    </row>
    <row r="1125" spans="10:12">
      <c r="J1125" s="138"/>
      <c r="L1125" s="97"/>
    </row>
    <row r="1126" spans="10:12">
      <c r="J1126" s="138"/>
      <c r="L1126" s="97"/>
    </row>
    <row r="1127" spans="10:12">
      <c r="J1127" s="138"/>
      <c r="L1127" s="97"/>
    </row>
    <row r="1128" spans="10:12">
      <c r="J1128" s="138"/>
      <c r="L1128" s="97"/>
    </row>
    <row r="1129" spans="10:12">
      <c r="J1129" s="138"/>
      <c r="L1129" s="97"/>
    </row>
    <row r="1130" spans="10:12">
      <c r="J1130" s="138"/>
      <c r="L1130" s="97"/>
    </row>
    <row r="1131" spans="10:12">
      <c r="J1131" s="138"/>
      <c r="L1131" s="97"/>
    </row>
    <row r="1132" spans="10:12">
      <c r="J1132" s="138"/>
      <c r="L1132" s="97"/>
    </row>
    <row r="1133" spans="10:12">
      <c r="J1133" s="138"/>
      <c r="L1133" s="97"/>
    </row>
    <row r="1134" spans="10:12">
      <c r="J1134" s="138"/>
      <c r="L1134" s="97"/>
    </row>
    <row r="1135" spans="10:12">
      <c r="J1135" s="138"/>
      <c r="L1135" s="97"/>
    </row>
    <row r="1136" spans="10:12">
      <c r="J1136" s="138"/>
      <c r="L1136" s="97"/>
    </row>
    <row r="1137" spans="10:12">
      <c r="J1137" s="138"/>
      <c r="L1137" s="97"/>
    </row>
    <row r="1138" spans="10:12">
      <c r="J1138" s="138"/>
      <c r="L1138" s="97"/>
    </row>
    <row r="1139" spans="10:12">
      <c r="J1139" s="138"/>
      <c r="L1139" s="97"/>
    </row>
    <row r="1140" spans="10:12">
      <c r="J1140" s="138"/>
      <c r="L1140" s="97"/>
    </row>
    <row r="1141" spans="10:12">
      <c r="J1141" s="138"/>
      <c r="L1141" s="97"/>
    </row>
    <row r="1142" spans="10:12">
      <c r="J1142" s="138"/>
      <c r="L1142" s="97"/>
    </row>
    <row r="1143" spans="10:12">
      <c r="J1143" s="138"/>
      <c r="L1143" s="97"/>
    </row>
    <row r="1144" spans="10:12">
      <c r="J1144" s="138"/>
      <c r="L1144" s="97"/>
    </row>
    <row r="1145" spans="10:12">
      <c r="J1145" s="138"/>
      <c r="L1145" s="97"/>
    </row>
    <row r="1146" spans="10:12">
      <c r="J1146" s="138"/>
      <c r="L1146" s="97"/>
    </row>
    <row r="1147" spans="10:12">
      <c r="J1147" s="138"/>
      <c r="L1147" s="97"/>
    </row>
    <row r="1148" spans="10:12">
      <c r="J1148" s="138"/>
      <c r="L1148" s="97"/>
    </row>
    <row r="1149" spans="10:12">
      <c r="J1149" s="138"/>
      <c r="L1149" s="97"/>
    </row>
    <row r="1150" spans="10:12">
      <c r="J1150" s="138"/>
      <c r="L1150" s="97"/>
    </row>
    <row r="1151" spans="10:12">
      <c r="J1151" s="138"/>
      <c r="L1151" s="97"/>
    </row>
    <row r="1152" spans="10:12">
      <c r="J1152" s="138"/>
      <c r="L1152" s="97"/>
    </row>
    <row r="1153" spans="10:12">
      <c r="J1153" s="138"/>
      <c r="L1153" s="97"/>
    </row>
    <row r="1154" spans="10:12">
      <c r="J1154" s="138"/>
      <c r="L1154" s="97"/>
    </row>
    <row r="1155" spans="10:12">
      <c r="J1155" s="138"/>
      <c r="L1155" s="97"/>
    </row>
    <row r="1156" spans="10:12">
      <c r="J1156" s="138"/>
      <c r="L1156" s="97"/>
    </row>
    <row r="1157" spans="10:12">
      <c r="J1157" s="138"/>
      <c r="L1157" s="97"/>
    </row>
    <row r="1158" spans="10:12">
      <c r="J1158" s="138"/>
      <c r="L1158" s="97"/>
    </row>
    <row r="1159" spans="10:12">
      <c r="J1159" s="138"/>
      <c r="L1159" s="97"/>
    </row>
    <row r="1160" spans="10:12">
      <c r="J1160" s="138"/>
      <c r="L1160" s="97"/>
    </row>
    <row r="1161" spans="10:12">
      <c r="J1161" s="138"/>
      <c r="L1161" s="97"/>
    </row>
    <row r="1162" spans="10:12">
      <c r="J1162" s="138"/>
      <c r="L1162" s="97"/>
    </row>
    <row r="1163" spans="10:12">
      <c r="J1163" s="138"/>
      <c r="L1163" s="97"/>
    </row>
    <row r="1164" spans="10:12">
      <c r="J1164" s="138"/>
      <c r="L1164" s="97"/>
    </row>
    <row r="1165" spans="10:12">
      <c r="J1165" s="138"/>
      <c r="L1165" s="97"/>
    </row>
    <row r="1166" spans="10:12">
      <c r="J1166" s="138"/>
      <c r="L1166" s="97"/>
    </row>
    <row r="1167" spans="10:12">
      <c r="J1167" s="138"/>
      <c r="L1167" s="97"/>
    </row>
    <row r="1168" spans="10:12">
      <c r="J1168" s="138"/>
      <c r="L1168" s="97"/>
    </row>
    <row r="1169" spans="10:12">
      <c r="J1169" s="138"/>
      <c r="L1169" s="97"/>
    </row>
    <row r="1170" spans="10:12">
      <c r="J1170" s="138"/>
      <c r="L1170" s="97"/>
    </row>
    <row r="1171" spans="10:12">
      <c r="J1171" s="138"/>
      <c r="L1171" s="97"/>
    </row>
    <row r="1172" spans="10:12">
      <c r="J1172" s="138"/>
      <c r="L1172" s="97"/>
    </row>
    <row r="1173" spans="10:12">
      <c r="J1173" s="138"/>
      <c r="L1173" s="97"/>
    </row>
    <row r="1174" spans="10:12">
      <c r="J1174" s="138"/>
      <c r="L1174" s="97"/>
    </row>
    <row r="1175" spans="10:12">
      <c r="J1175" s="138"/>
      <c r="L1175" s="97"/>
    </row>
    <row r="1176" spans="10:12">
      <c r="J1176" s="138"/>
      <c r="L1176" s="97"/>
    </row>
    <row r="1177" spans="10:12">
      <c r="J1177" s="138"/>
      <c r="L1177" s="97"/>
    </row>
    <row r="1178" spans="10:12">
      <c r="J1178" s="138"/>
      <c r="L1178" s="97"/>
    </row>
    <row r="1179" spans="10:12">
      <c r="J1179" s="138"/>
      <c r="L1179" s="97"/>
    </row>
    <row r="1180" spans="10:12">
      <c r="J1180" s="138"/>
      <c r="L1180" s="97"/>
    </row>
    <row r="1181" spans="10:12">
      <c r="J1181" s="138"/>
      <c r="L1181" s="97"/>
    </row>
    <row r="1182" spans="10:12">
      <c r="J1182" s="138"/>
      <c r="L1182" s="97"/>
    </row>
    <row r="1183" spans="10:12">
      <c r="J1183" s="138"/>
      <c r="L1183" s="97"/>
    </row>
    <row r="1184" spans="10:12">
      <c r="J1184" s="138"/>
      <c r="L1184" s="97"/>
    </row>
    <row r="1185" spans="10:12">
      <c r="J1185" s="138"/>
      <c r="L1185" s="97"/>
    </row>
    <row r="1186" spans="10:12">
      <c r="J1186" s="138"/>
      <c r="L1186" s="97"/>
    </row>
    <row r="1187" spans="10:12">
      <c r="J1187" s="138"/>
      <c r="L1187" s="97"/>
    </row>
    <row r="1188" spans="10:12">
      <c r="J1188" s="138"/>
      <c r="L1188" s="97"/>
    </row>
    <row r="1189" spans="10:12">
      <c r="J1189" s="138"/>
      <c r="L1189" s="97"/>
    </row>
    <row r="1190" spans="10:12">
      <c r="J1190" s="138"/>
      <c r="L1190" s="97"/>
    </row>
    <row r="1191" spans="10:12">
      <c r="J1191" s="138"/>
      <c r="L1191" s="97"/>
    </row>
    <row r="1192" spans="10:12">
      <c r="J1192" s="138"/>
      <c r="L1192" s="97"/>
    </row>
    <row r="1193" spans="10:12">
      <c r="J1193" s="138"/>
      <c r="L1193" s="97"/>
    </row>
    <row r="1194" spans="10:12">
      <c r="J1194" s="138"/>
      <c r="L1194" s="97"/>
    </row>
    <row r="1195" spans="10:12">
      <c r="J1195" s="138"/>
      <c r="L1195" s="97"/>
    </row>
    <row r="1196" spans="10:12">
      <c r="J1196" s="138"/>
      <c r="L1196" s="97"/>
    </row>
    <row r="1197" spans="10:12">
      <c r="J1197" s="138"/>
      <c r="L1197" s="97"/>
    </row>
    <row r="1198" spans="10:12">
      <c r="J1198" s="138"/>
      <c r="L1198" s="97"/>
    </row>
    <row r="1199" spans="10:12">
      <c r="J1199" s="138"/>
      <c r="L1199" s="97"/>
    </row>
    <row r="1200" spans="10:12">
      <c r="J1200" s="138"/>
      <c r="L1200" s="97"/>
    </row>
    <row r="1201" spans="10:12">
      <c r="J1201" s="138"/>
      <c r="L1201" s="97"/>
    </row>
    <row r="1202" spans="10:12">
      <c r="J1202" s="138"/>
      <c r="L1202" s="97"/>
    </row>
    <row r="1203" spans="10:12">
      <c r="J1203" s="138"/>
      <c r="L1203" s="97"/>
    </row>
    <row r="1204" spans="10:12">
      <c r="J1204" s="138"/>
      <c r="L1204" s="97"/>
    </row>
    <row r="1205" spans="10:12">
      <c r="J1205" s="138"/>
      <c r="L1205" s="97"/>
    </row>
    <row r="1206" spans="10:12">
      <c r="J1206" s="138"/>
      <c r="L1206" s="97"/>
    </row>
    <row r="1207" spans="10:12">
      <c r="J1207" s="138"/>
      <c r="L1207" s="97"/>
    </row>
    <row r="1208" spans="10:12">
      <c r="J1208" s="138"/>
      <c r="L1208" s="97"/>
    </row>
    <row r="1209" spans="10:12">
      <c r="J1209" s="138"/>
      <c r="L1209" s="97"/>
    </row>
    <row r="1210" spans="10:12">
      <c r="J1210" s="138"/>
      <c r="L1210" s="97"/>
    </row>
    <row r="1211" spans="10:12">
      <c r="J1211" s="138"/>
      <c r="L1211" s="97"/>
    </row>
    <row r="1212" spans="10:12">
      <c r="J1212" s="138"/>
      <c r="L1212" s="97"/>
    </row>
    <row r="1213" spans="10:12">
      <c r="J1213" s="138"/>
      <c r="L1213" s="97"/>
    </row>
    <row r="1214" spans="10:12">
      <c r="J1214" s="138"/>
      <c r="L1214" s="97"/>
    </row>
    <row r="1215" spans="10:12">
      <c r="J1215" s="138"/>
      <c r="L1215" s="97"/>
    </row>
    <row r="1216" spans="10:12">
      <c r="J1216" s="138"/>
      <c r="L1216" s="97"/>
    </row>
    <row r="1217" spans="10:12">
      <c r="J1217" s="138"/>
      <c r="L1217" s="97"/>
    </row>
    <row r="1218" spans="10:12">
      <c r="J1218" s="138"/>
      <c r="L1218" s="97"/>
    </row>
    <row r="1219" spans="10:12">
      <c r="J1219" s="138"/>
      <c r="L1219" s="97"/>
    </row>
    <row r="1220" spans="10:12">
      <c r="J1220" s="138"/>
      <c r="L1220" s="97"/>
    </row>
    <row r="1221" spans="10:12">
      <c r="J1221" s="138"/>
      <c r="L1221" s="97"/>
    </row>
    <row r="1222" spans="10:12">
      <c r="J1222" s="138"/>
      <c r="L1222" s="97"/>
    </row>
    <row r="1223" spans="10:12">
      <c r="J1223" s="138"/>
      <c r="L1223" s="97"/>
    </row>
    <row r="1224" spans="10:12">
      <c r="J1224" s="138"/>
      <c r="L1224" s="97"/>
    </row>
    <row r="1225" spans="10:12">
      <c r="J1225" s="138"/>
      <c r="L1225" s="97"/>
    </row>
    <row r="1226" spans="10:12">
      <c r="J1226" s="138"/>
      <c r="L1226" s="97"/>
    </row>
    <row r="1227" spans="10:12">
      <c r="J1227" s="138"/>
      <c r="L1227" s="97"/>
    </row>
    <row r="1228" spans="10:12">
      <c r="J1228" s="138"/>
      <c r="L1228" s="97"/>
    </row>
    <row r="1229" spans="10:12">
      <c r="J1229" s="138"/>
      <c r="L1229" s="97"/>
    </row>
    <row r="1230" spans="10:12">
      <c r="J1230" s="138"/>
      <c r="L1230" s="97"/>
    </row>
    <row r="1231" spans="10:12">
      <c r="J1231" s="138"/>
      <c r="L1231" s="97"/>
    </row>
    <row r="1232" spans="10:12">
      <c r="J1232" s="138"/>
      <c r="L1232" s="97"/>
    </row>
    <row r="1233" spans="10:12">
      <c r="J1233" s="138"/>
      <c r="L1233" s="97"/>
    </row>
    <row r="1234" spans="10:12">
      <c r="J1234" s="138"/>
      <c r="L1234" s="97"/>
    </row>
    <row r="1235" spans="10:12">
      <c r="J1235" s="138"/>
      <c r="L1235" s="97"/>
    </row>
    <row r="1236" spans="10:12">
      <c r="J1236" s="138"/>
      <c r="L1236" s="97"/>
    </row>
    <row r="1237" spans="10:12">
      <c r="J1237" s="138"/>
      <c r="L1237" s="97"/>
    </row>
    <row r="1238" spans="10:12">
      <c r="J1238" s="138"/>
      <c r="L1238" s="97"/>
    </row>
    <row r="1239" spans="10:12">
      <c r="J1239" s="138"/>
      <c r="L1239" s="97"/>
    </row>
    <row r="1240" spans="10:12">
      <c r="J1240" s="138"/>
      <c r="L1240" s="97"/>
    </row>
    <row r="1241" spans="10:12">
      <c r="J1241" s="138"/>
      <c r="L1241" s="97"/>
    </row>
    <row r="1242" spans="10:12">
      <c r="J1242" s="138"/>
      <c r="L1242" s="97"/>
    </row>
    <row r="1243" spans="10:12">
      <c r="J1243" s="138"/>
      <c r="L1243" s="97"/>
    </row>
    <row r="1244" spans="10:12">
      <c r="J1244" s="138"/>
      <c r="L1244" s="97"/>
    </row>
    <row r="1245" spans="10:12">
      <c r="J1245" s="138"/>
      <c r="L1245" s="97"/>
    </row>
    <row r="1246" spans="10:12">
      <c r="J1246" s="138"/>
      <c r="L1246" s="97"/>
    </row>
    <row r="1247" spans="10:12">
      <c r="J1247" s="138"/>
      <c r="L1247" s="97"/>
    </row>
    <row r="1248" spans="10:12">
      <c r="J1248" s="138"/>
      <c r="L1248" s="97"/>
    </row>
    <row r="1249" spans="10:12">
      <c r="J1249" s="138"/>
      <c r="L1249" s="97"/>
    </row>
    <row r="1250" spans="10:12">
      <c r="J1250" s="138"/>
      <c r="L1250" s="97"/>
    </row>
  </sheetData>
  <mergeCells count="76">
    <mergeCell ref="M31:N31"/>
    <mergeCell ref="M32:N32"/>
    <mergeCell ref="M36:N36"/>
    <mergeCell ref="M37:N37"/>
    <mergeCell ref="M38:N38"/>
    <mergeCell ref="M33:N33"/>
    <mergeCell ref="M34:N34"/>
    <mergeCell ref="M35:N35"/>
    <mergeCell ref="B49:N49"/>
    <mergeCell ref="M50:N50"/>
    <mergeCell ref="M48:N48"/>
    <mergeCell ref="M29:N29"/>
    <mergeCell ref="M30:N30"/>
    <mergeCell ref="M47:N47"/>
    <mergeCell ref="M46:N46"/>
    <mergeCell ref="M45:N45"/>
    <mergeCell ref="M43:N43"/>
    <mergeCell ref="M44:N44"/>
    <mergeCell ref="M39:N39"/>
    <mergeCell ref="M40:N40"/>
    <mergeCell ref="M41:N41"/>
    <mergeCell ref="M42:N42"/>
    <mergeCell ref="B28:N28"/>
    <mergeCell ref="B26:N26"/>
    <mergeCell ref="M27:N27"/>
    <mergeCell ref="M21:N21"/>
    <mergeCell ref="M22:N22"/>
    <mergeCell ref="B23:N23"/>
    <mergeCell ref="B24:N24"/>
    <mergeCell ref="M25:N25"/>
    <mergeCell ref="O18:R18"/>
    <mergeCell ref="S18:V18"/>
    <mergeCell ref="O19:R19"/>
    <mergeCell ref="S19:V19"/>
    <mergeCell ref="F20:M20"/>
    <mergeCell ref="O20:R20"/>
    <mergeCell ref="S20:V20"/>
    <mergeCell ref="O14:R14"/>
    <mergeCell ref="S14:V14"/>
    <mergeCell ref="O15:R15"/>
    <mergeCell ref="S15:V15"/>
    <mergeCell ref="B16:B19"/>
    <mergeCell ref="C16:M19"/>
    <mergeCell ref="O16:R16"/>
    <mergeCell ref="S16:V16"/>
    <mergeCell ref="O17:R17"/>
    <mergeCell ref="S17:V17"/>
    <mergeCell ref="B10:B15"/>
    <mergeCell ref="C10:M15"/>
    <mergeCell ref="O10:R10"/>
    <mergeCell ref="S10:V10"/>
    <mergeCell ref="O11:R11"/>
    <mergeCell ref="S11:V11"/>
    <mergeCell ref="O12:R12"/>
    <mergeCell ref="S12:V12"/>
    <mergeCell ref="O13:R13"/>
    <mergeCell ref="S13:V13"/>
    <mergeCell ref="B8:B9"/>
    <mergeCell ref="C8:M9"/>
    <mergeCell ref="O8:R8"/>
    <mergeCell ref="S8:V8"/>
    <mergeCell ref="O9:Q9"/>
    <mergeCell ref="S9:U9"/>
    <mergeCell ref="B6:B7"/>
    <mergeCell ref="C6:M7"/>
    <mergeCell ref="O6:R6"/>
    <mergeCell ref="S6:V6"/>
    <mergeCell ref="O7:R7"/>
    <mergeCell ref="S7:V7"/>
    <mergeCell ref="B2:M3"/>
    <mergeCell ref="B4:B5"/>
    <mergeCell ref="C4:M5"/>
    <mergeCell ref="O4:R4"/>
    <mergeCell ref="S4:V4"/>
    <mergeCell ref="O5:R5"/>
    <mergeCell ref="S5:V5"/>
  </mergeCells>
  <phoneticPr fontId="6" type="noConversion"/>
  <conditionalFormatting sqref="O25 O29:O44 S29:S47">
    <cfRule type="cellIs" dxfId="47" priority="66" operator="equal">
      <formula>"N"</formula>
    </cfRule>
    <cfRule type="cellIs" dxfId="46" priority="67" operator="equal">
      <formula>"Y"</formula>
    </cfRule>
  </conditionalFormatting>
  <conditionalFormatting sqref="O27">
    <cfRule type="cellIs" dxfId="45" priority="44" operator="equal">
      <formula>"N"</formula>
    </cfRule>
    <cfRule type="cellIs" dxfId="44" priority="45" operator="equal">
      <formula>"Y"</formula>
    </cfRule>
  </conditionalFormatting>
  <conditionalFormatting sqref="O50">
    <cfRule type="cellIs" dxfId="43" priority="38" operator="equal">
      <formula>"N"</formula>
    </cfRule>
    <cfRule type="cellIs" dxfId="42" priority="39" operator="equal">
      <formula>"Y"</formula>
    </cfRule>
  </conditionalFormatting>
  <conditionalFormatting sqref="Q25 Q29:Q47 U29:U47">
    <cfRule type="cellIs" priority="61" operator="equal">
      <formula>"New"</formula>
    </cfRule>
    <cfRule type="cellIs" dxfId="41" priority="62" operator="equal">
      <formula>"N/A"</formula>
    </cfRule>
    <cfRule type="cellIs" dxfId="40" priority="63" operator="equal">
      <formula>"-"</formula>
    </cfRule>
    <cfRule type="cellIs" dxfId="39" priority="64" operator="equal">
      <formula>"F"</formula>
    </cfRule>
    <cfRule type="cellIs" dxfId="38" priority="65" operator="equal">
      <formula>"P"</formula>
    </cfRule>
  </conditionalFormatting>
  <conditionalFormatting sqref="Q27">
    <cfRule type="cellIs" priority="46" operator="equal">
      <formula>"New"</formula>
    </cfRule>
    <cfRule type="cellIs" dxfId="37" priority="47" operator="equal">
      <formula>"N/A"</formula>
    </cfRule>
    <cfRule type="cellIs" dxfId="36" priority="48" operator="equal">
      <formula>"-"</formula>
    </cfRule>
    <cfRule type="cellIs" dxfId="35" priority="49" operator="equal">
      <formula>"F"</formula>
    </cfRule>
    <cfRule type="cellIs" dxfId="34" priority="50" operator="equal">
      <formula>"P"</formula>
    </cfRule>
  </conditionalFormatting>
  <conditionalFormatting sqref="Q50">
    <cfRule type="cellIs" priority="51" operator="equal">
      <formula>"New"</formula>
    </cfRule>
    <cfRule type="cellIs" dxfId="33" priority="52" operator="equal">
      <formula>"N/A"</formula>
    </cfRule>
    <cfRule type="cellIs" dxfId="32" priority="53" operator="equal">
      <formula>"-"</formula>
    </cfRule>
    <cfRule type="cellIs" dxfId="31" priority="54" operator="equal">
      <formula>"F"</formula>
    </cfRule>
    <cfRule type="cellIs" dxfId="30" priority="55" operator="equal">
      <formula>"P"</formula>
    </cfRule>
  </conditionalFormatting>
  <conditionalFormatting sqref="S25">
    <cfRule type="cellIs" dxfId="29" priority="36" operator="equal">
      <formula>"N"</formula>
    </cfRule>
    <cfRule type="cellIs" dxfId="28" priority="37" operator="equal">
      <formula>"Y"</formula>
    </cfRule>
  </conditionalFormatting>
  <conditionalFormatting sqref="S27">
    <cfRule type="cellIs" dxfId="27" priority="14" operator="equal">
      <formula>"N"</formula>
    </cfRule>
    <cfRule type="cellIs" dxfId="26" priority="15" operator="equal">
      <formula>"Y"</formula>
    </cfRule>
  </conditionalFormatting>
  <conditionalFormatting sqref="S48">
    <cfRule type="cellIs" dxfId="25" priority="10" operator="equal">
      <formula>"N"</formula>
    </cfRule>
    <cfRule type="cellIs" dxfId="24" priority="11" operator="equal">
      <formula>"Y"</formula>
    </cfRule>
  </conditionalFormatting>
  <conditionalFormatting sqref="S50">
    <cfRule type="cellIs" dxfId="23" priority="8" operator="equal">
      <formula>"N"</formula>
    </cfRule>
    <cfRule type="cellIs" dxfId="22" priority="9" operator="equal">
      <formula>"Y"</formula>
    </cfRule>
  </conditionalFormatting>
  <conditionalFormatting sqref="U25">
    <cfRule type="cellIs" priority="31" operator="equal">
      <formula>"New"</formula>
    </cfRule>
    <cfRule type="cellIs" dxfId="21" priority="32" operator="equal">
      <formula>"N/A"</formula>
    </cfRule>
    <cfRule type="cellIs" dxfId="20" priority="33" operator="equal">
      <formula>"-"</formula>
    </cfRule>
    <cfRule type="cellIs" dxfId="19" priority="34" operator="equal">
      <formula>"F"</formula>
    </cfRule>
    <cfRule type="cellIs" dxfId="18" priority="35" operator="equal">
      <formula>"P"</formula>
    </cfRule>
  </conditionalFormatting>
  <conditionalFormatting sqref="U27">
    <cfRule type="cellIs" priority="16" operator="equal">
      <formula>"New"</formula>
    </cfRule>
    <cfRule type="cellIs" dxfId="17" priority="17" operator="equal">
      <formula>"N/A"</formula>
    </cfRule>
    <cfRule type="cellIs" dxfId="16" priority="18" operator="equal">
      <formula>"-"</formula>
    </cfRule>
    <cfRule type="cellIs" dxfId="15" priority="19" operator="equal">
      <formula>"F"</formula>
    </cfRule>
    <cfRule type="cellIs" dxfId="14" priority="20" operator="equal">
      <formula>"P"</formula>
    </cfRule>
  </conditionalFormatting>
  <conditionalFormatting sqref="U48">
    <cfRule type="cellIs" priority="26" operator="equal">
      <formula>"New"</formula>
    </cfRule>
    <cfRule type="cellIs" dxfId="13" priority="27" operator="equal">
      <formula>"N/A"</formula>
    </cfRule>
    <cfRule type="cellIs" dxfId="12" priority="28" operator="equal">
      <formula>"-"</formula>
    </cfRule>
    <cfRule type="cellIs" dxfId="11" priority="29" operator="equal">
      <formula>"F"</formula>
    </cfRule>
    <cfRule type="cellIs" dxfId="10" priority="30" operator="equal">
      <formula>"P"</formula>
    </cfRule>
  </conditionalFormatting>
  <conditionalFormatting sqref="U50">
    <cfRule type="cellIs" priority="21" operator="equal">
      <formula>"New"</formula>
    </cfRule>
    <cfRule type="cellIs" dxfId="9" priority="22" operator="equal">
      <formula>"N/A"</formula>
    </cfRule>
    <cfRule type="cellIs" dxfId="8" priority="23" operator="equal">
      <formula>"-"</formula>
    </cfRule>
    <cfRule type="cellIs" dxfId="7" priority="24" operator="equal">
      <formula>"F"</formula>
    </cfRule>
    <cfRule type="cellIs" dxfId="6" priority="25" operator="equal">
      <formula>"P"</formula>
    </cfRule>
  </conditionalFormatting>
  <conditionalFormatting sqref="O45:O48">
    <cfRule type="cellIs" dxfId="5" priority="6" operator="equal">
      <formula>"N"</formula>
    </cfRule>
    <cfRule type="cellIs" dxfId="4" priority="7" operator="equal">
      <formula>"Y"</formula>
    </cfRule>
  </conditionalFormatting>
  <conditionalFormatting sqref="Q48">
    <cfRule type="cellIs" priority="1" operator="equal">
      <formula>"New"</formula>
    </cfRule>
    <cfRule type="cellIs" dxfId="3" priority="2" operator="equal">
      <formula>"N/A"</formula>
    </cfRule>
    <cfRule type="cellIs" dxfId="2" priority="3" operator="equal">
      <formula>"-"</formula>
    </cfRule>
    <cfRule type="cellIs" dxfId="1" priority="4" operator="equal">
      <formula>"F"</formula>
    </cfRule>
    <cfRule type="cellIs" dxfId="0" priority="5" operator="equal">
      <formula>"P"</formula>
    </cfRule>
  </conditionalFormatting>
  <dataValidations count="8">
    <dataValidation type="list" allowBlank="1" showInputMessage="1" showErrorMessage="1" sqref="I1:I3 I20 I23:I1048576" xr:uid="{FA5848E5-BE21-40CC-8724-E9009C9A40AC}">
      <formula1>"Manual,HIL,实车"</formula1>
    </dataValidation>
    <dataValidation allowBlank="1" showInputMessage="1" showErrorMessage="1" sqref="P21 R21 T21 V21" xr:uid="{AB85C8BE-DFA6-4722-95E8-1BFD1369F9C2}"/>
    <dataValidation type="list" errorStyle="warning" allowBlank="1" showInputMessage="1" showErrorMessage="1" sqref="F21" xr:uid="{BDE80524-7487-40BF-8C3A-8549ACB1A92E}">
      <formula1>"功能,用例,子用例,步骤"</formula1>
    </dataValidation>
    <dataValidation type="list" errorStyle="warning" allowBlank="1" showInputMessage="1" showErrorMessage="1" sqref="F25 F50 F27 F29:F48" xr:uid="{33071EDB-5224-471F-895D-71CEFD3B2570}">
      <formula1>"功能,用例,子用例,新增用例,步骤"</formula1>
    </dataValidation>
    <dataValidation type="list" allowBlank="1" showInputMessage="1" showErrorMessage="1" sqref="Q50 Q25 Q27 U50 U25 U27 Q29:Q48 U29:U48" xr:uid="{7E50B2C6-9C1D-4665-9233-8FA5B4B78FDD}">
      <formula1>"P,F,-,N/A,New"</formula1>
    </dataValidation>
    <dataValidation type="list" allowBlank="1" showInputMessage="1" showErrorMessage="1" sqref="H25 H50 H27 H29:H48" xr:uid="{E7D08CBB-AF1A-4A63-B359-433CEFF2584D}">
      <formula1>"冒烟,高,中,低"</formula1>
    </dataValidation>
    <dataValidation errorStyle="warning" allowBlank="1" showInputMessage="1" showErrorMessage="1" sqref="F22" xr:uid="{BF84FDFA-A7CF-4387-BD56-A138BC464E7A}"/>
    <dataValidation type="list" allowBlank="1" showInputMessage="1" showErrorMessage="1" sqref="O25 O27 O50 S25 S27 S50 O29:O48 S29:S48" xr:uid="{10D24146-FB44-42E2-81FB-946004E6795D}">
      <formula1>"Y,N"</formula1>
    </dataValidation>
  </dataValidations>
  <pageMargins left="0.7" right="0.7" top="0.75" bottom="0.75" header="0.3" footer="0.3"/>
  <pageSetup paperSize="9" scale="65" orientation="portrait" r:id="rId1"/>
  <colBreaks count="1" manualBreakCount="1">
    <brk id="11" max="1043" man="1"/>
  </col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1011-1E9D-44CD-9564-093A95CECE2B}">
  <dimension ref="B1:H18"/>
  <sheetViews>
    <sheetView showGridLines="0" view="pageBreakPreview" zoomScaleNormal="100" zoomScaleSheetLayoutView="100" workbookViewId="0">
      <selection activeCell="N18" sqref="N18"/>
    </sheetView>
  </sheetViews>
  <sheetFormatPr defaultRowHeight="15.75"/>
  <cols>
    <col min="1" max="1" width="3.375" customWidth="1"/>
    <col min="7" max="7" width="16.625" customWidth="1"/>
    <col min="8" max="8" width="35.5" customWidth="1"/>
    <col min="9" max="9" width="3.25" customWidth="1"/>
  </cols>
  <sheetData>
    <row r="1" spans="2:8" ht="16.5" thickBot="1"/>
    <row r="2" spans="2:8" ht="36">
      <c r="B2" s="57" t="s">
        <v>46</v>
      </c>
      <c r="C2" s="58" t="s">
        <v>86</v>
      </c>
      <c r="D2" s="58" t="s">
        <v>61</v>
      </c>
      <c r="E2" s="58" t="s">
        <v>62</v>
      </c>
      <c r="F2" s="58" t="s">
        <v>58</v>
      </c>
      <c r="G2" s="58" t="s">
        <v>59</v>
      </c>
      <c r="H2" s="59" t="s">
        <v>60</v>
      </c>
    </row>
    <row r="3" spans="2:8" ht="17.25">
      <c r="B3" s="60"/>
      <c r="C3" s="40"/>
      <c r="D3" s="55">
        <v>8</v>
      </c>
      <c r="E3" s="55">
        <v>8</v>
      </c>
      <c r="F3" s="55">
        <v>0</v>
      </c>
      <c r="G3" s="56">
        <f>F3/D3</f>
        <v>0</v>
      </c>
      <c r="H3" s="61" t="s">
        <v>50</v>
      </c>
    </row>
    <row r="4" spans="2:8" ht="17.25">
      <c r="B4" s="44"/>
      <c r="C4" s="45"/>
      <c r="D4" s="45">
        <v>4</v>
      </c>
      <c r="E4" s="45">
        <v>8</v>
      </c>
      <c r="F4" s="45">
        <v>4</v>
      </c>
      <c r="G4" s="54">
        <f>F4/D4</f>
        <v>1</v>
      </c>
      <c r="H4" s="50" t="s">
        <v>55</v>
      </c>
    </row>
    <row r="5" spans="2:8" ht="17.25">
      <c r="B5" s="60"/>
      <c r="C5" s="40"/>
      <c r="D5" s="55"/>
      <c r="E5" s="55"/>
      <c r="F5" s="55"/>
      <c r="G5" s="56" t="e">
        <f t="shared" ref="G5:G18" si="0">F5/D5</f>
        <v>#DIV/0!</v>
      </c>
      <c r="H5" s="61"/>
    </row>
    <row r="6" spans="2:8" ht="17.25">
      <c r="B6" s="44"/>
      <c r="C6" s="45"/>
      <c r="D6" s="45"/>
      <c r="E6" s="45"/>
      <c r="F6" s="45"/>
      <c r="G6" s="54" t="e">
        <f t="shared" si="0"/>
        <v>#DIV/0!</v>
      </c>
      <c r="H6" s="50"/>
    </row>
    <row r="7" spans="2:8" ht="17.25">
      <c r="B7" s="60"/>
      <c r="C7" s="40"/>
      <c r="D7" s="55"/>
      <c r="E7" s="55"/>
      <c r="F7" s="55"/>
      <c r="G7" s="56" t="e">
        <f t="shared" si="0"/>
        <v>#DIV/0!</v>
      </c>
      <c r="H7" s="61"/>
    </row>
    <row r="8" spans="2:8" ht="17.25">
      <c r="B8" s="44"/>
      <c r="C8" s="45"/>
      <c r="D8" s="45"/>
      <c r="E8" s="45"/>
      <c r="F8" s="45"/>
      <c r="G8" s="54" t="e">
        <f t="shared" si="0"/>
        <v>#DIV/0!</v>
      </c>
      <c r="H8" s="50"/>
    </row>
    <row r="9" spans="2:8" ht="17.25">
      <c r="B9" s="60"/>
      <c r="C9" s="40"/>
      <c r="D9" s="55"/>
      <c r="E9" s="55"/>
      <c r="F9" s="55"/>
      <c r="G9" s="56" t="e">
        <f t="shared" si="0"/>
        <v>#DIV/0!</v>
      </c>
      <c r="H9" s="61"/>
    </row>
    <row r="10" spans="2:8" ht="17.25">
      <c r="B10" s="44"/>
      <c r="C10" s="45"/>
      <c r="D10" s="45"/>
      <c r="E10" s="45"/>
      <c r="F10" s="45"/>
      <c r="G10" s="54" t="e">
        <f t="shared" si="0"/>
        <v>#DIV/0!</v>
      </c>
      <c r="H10" s="50"/>
    </row>
    <row r="11" spans="2:8" ht="17.25">
      <c r="B11" s="60"/>
      <c r="C11" s="40"/>
      <c r="D11" s="55"/>
      <c r="E11" s="55"/>
      <c r="F11" s="55"/>
      <c r="G11" s="56" t="e">
        <f t="shared" si="0"/>
        <v>#DIV/0!</v>
      </c>
      <c r="H11" s="61"/>
    </row>
    <row r="12" spans="2:8" ht="17.25">
      <c r="B12" s="44"/>
      <c r="C12" s="45"/>
      <c r="D12" s="45"/>
      <c r="E12" s="45"/>
      <c r="F12" s="45"/>
      <c r="G12" s="54" t="e">
        <f t="shared" si="0"/>
        <v>#DIV/0!</v>
      </c>
      <c r="H12" s="50"/>
    </row>
    <row r="13" spans="2:8" ht="17.25">
      <c r="B13" s="60"/>
      <c r="C13" s="40"/>
      <c r="D13" s="55"/>
      <c r="E13" s="55"/>
      <c r="F13" s="55"/>
      <c r="G13" s="56" t="e">
        <f t="shared" si="0"/>
        <v>#DIV/0!</v>
      </c>
      <c r="H13" s="61"/>
    </row>
    <row r="14" spans="2:8" ht="17.25">
      <c r="B14" s="44"/>
      <c r="C14" s="45"/>
      <c r="D14" s="45"/>
      <c r="E14" s="45"/>
      <c r="F14" s="45"/>
      <c r="G14" s="54" t="e">
        <f t="shared" si="0"/>
        <v>#DIV/0!</v>
      </c>
      <c r="H14" s="50"/>
    </row>
    <row r="15" spans="2:8" ht="17.25">
      <c r="B15" s="60"/>
      <c r="C15" s="40"/>
      <c r="D15" s="55"/>
      <c r="E15" s="55"/>
      <c r="F15" s="55"/>
      <c r="G15" s="56" t="e">
        <f t="shared" si="0"/>
        <v>#DIV/0!</v>
      </c>
      <c r="H15" s="61"/>
    </row>
    <row r="16" spans="2:8" ht="17.25">
      <c r="B16" s="44"/>
      <c r="C16" s="45"/>
      <c r="D16" s="45"/>
      <c r="E16" s="45"/>
      <c r="F16" s="45"/>
      <c r="G16" s="54" t="e">
        <f t="shared" si="0"/>
        <v>#DIV/0!</v>
      </c>
      <c r="H16" s="50"/>
    </row>
    <row r="17" spans="2:8" ht="18" thickBot="1">
      <c r="B17" s="62"/>
      <c r="C17" s="63"/>
      <c r="D17" s="64"/>
      <c r="E17" s="64"/>
      <c r="F17" s="64"/>
      <c r="G17" s="65" t="e">
        <f t="shared" si="0"/>
        <v>#DIV/0!</v>
      </c>
      <c r="H17" s="66"/>
    </row>
    <row r="18" spans="2:8" ht="16.5" thickBot="1">
      <c r="B18" s="67" t="s">
        <v>63</v>
      </c>
      <c r="C18" s="68"/>
      <c r="D18" s="68">
        <f>SUM(D3:D17)</f>
        <v>12</v>
      </c>
      <c r="E18" s="68">
        <f t="shared" ref="E18:F18" si="1">SUM(E3:E17)</f>
        <v>16</v>
      </c>
      <c r="F18" s="68">
        <f t="shared" si="1"/>
        <v>4</v>
      </c>
      <c r="G18" s="70">
        <f t="shared" si="0"/>
        <v>0.33333333333333331</v>
      </c>
      <c r="H18" s="69"/>
    </row>
  </sheetData>
  <phoneticPr fontId="6" type="noConversion"/>
  <pageMargins left="0.7" right="0.7" top="0.75" bottom="0.75" header="0.3" footer="0.3"/>
  <pageSetup paperSize="9" scale="80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8</vt:i4>
      </vt:variant>
    </vt:vector>
  </HeadingPairs>
  <TitlesOfParts>
    <vt:vector size="17" baseType="lpstr">
      <vt:lpstr>封面</vt:lpstr>
      <vt:lpstr>变更履历</vt:lpstr>
      <vt:lpstr>1.测试基本信息</vt:lpstr>
      <vt:lpstr>2.测试汇总结果</vt:lpstr>
      <vt:lpstr>3.测试分析报告</vt:lpstr>
      <vt:lpstr>附1.测试Bug清单</vt:lpstr>
      <vt:lpstr>附2.测试结果</vt:lpstr>
      <vt:lpstr>BSW测试结果</vt:lpstr>
      <vt:lpstr>附3.工作量统计</vt:lpstr>
      <vt:lpstr>'3.测试分析报告'!OLE_LINK8</vt:lpstr>
      <vt:lpstr>'1.测试基本信息'!Print_Area</vt:lpstr>
      <vt:lpstr>'2.测试汇总结果'!Print_Area</vt:lpstr>
      <vt:lpstr>BSW测试结果!Print_Area</vt:lpstr>
      <vt:lpstr>变更履历!Print_Area</vt:lpstr>
      <vt:lpstr>附1.测试Bug清单!Print_Area</vt:lpstr>
      <vt:lpstr>附2.测试结果!Print_Area</vt:lpstr>
      <vt:lpstr>附3.工作量统计!Print_Area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ZeWei</dc:creator>
  <cp:lastModifiedBy>权恒毅</cp:lastModifiedBy>
  <cp:lastPrinted>2021-07-14T06:52:31Z</cp:lastPrinted>
  <dcterms:created xsi:type="dcterms:W3CDTF">2021-07-14T01:58:48Z</dcterms:created>
  <dcterms:modified xsi:type="dcterms:W3CDTF">2026-03-11T06:39:23Z</dcterms:modified>
</cp:coreProperties>
</file>